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2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8_{05CAE477-7FA2-4A64-A8E1-4F2BA5997CBE}" xr6:coauthVersionLast="47" xr6:coauthVersionMax="47" xr10:uidLastSave="{00000000-0000-0000-0000-000000000000}"/>
  <bookViews>
    <workbookView xWindow="-120" yWindow="-120" windowWidth="20730" windowHeight="11040" firstSheet="3" activeTab="7" xr2:uid="{80B590A0-26F3-4C00-B82F-AB5BC9851E2A}"/>
  </bookViews>
  <sheets>
    <sheet name="DATA" sheetId="1" r:id="rId1"/>
    <sheet name="Database" sheetId="2" r:id="rId2"/>
    <sheet name="Products" sheetId="10" r:id="rId3"/>
    <sheet name="Sales mans" sheetId="11" r:id="rId4"/>
    <sheet name="About" sheetId="14" r:id="rId5"/>
    <sheet name="Slicer" sheetId="3" r:id="rId6"/>
    <sheet name="pivot tables" sheetId="4" r:id="rId7"/>
    <sheet name="Sheet5" sheetId="5" r:id="rId8"/>
  </sheets>
  <definedNames>
    <definedName name="_xlcn.WorksheetConnection_ExcelDashBoardPracticeFile.xlsxTable1" hidden="1">Table1[]</definedName>
    <definedName name="Slicer_Date__Month">#N/A</definedName>
    <definedName name="Slicer_Place">#N/A</definedName>
    <definedName name="Slicer_Place2">#N/A</definedName>
    <definedName name="Slicer_Place4">#N/A</definedName>
    <definedName name="Slicer_Products1">#N/A</definedName>
    <definedName name="Timeline_Date">#N/A</definedName>
    <definedName name="Timeline_Date1">#N/A</definedName>
  </definedNames>
  <calcPr calcId="191029" iterate="1"/>
  <pivotCaches>
    <pivotCache cacheId="9" r:id="rId9"/>
    <pivotCache cacheId="10" r:id="rId10"/>
    <pivotCache cacheId="11" r:id="rId11"/>
    <pivotCache cacheId="12" r:id="rId12"/>
    <pivotCache cacheId="13" r:id="rId13"/>
    <pivotCache cacheId="14" r:id="rId14"/>
    <pivotCache cacheId="15" r:id="rId15"/>
    <pivotCache cacheId="16" r:id="rId16"/>
    <pivotCache cacheId="17" r:id="rId17"/>
    <pivotCache cacheId="18" r:id="rId18"/>
    <pivotCache cacheId="19" r:id="rId19"/>
    <pivotCache cacheId="20" r:id="rId20"/>
    <pivotCache cacheId="21" r:id="rId21"/>
    <pivotCache cacheId="22" r:id="rId22"/>
    <pivotCache cacheId="23" r:id="rId23"/>
    <pivotCache cacheId="24" r:id="rId24"/>
    <pivotCache cacheId="25" r:id="rId25"/>
    <pivotCache cacheId="26" r:id="rId26"/>
    <pivotCache cacheId="27" r:id="rId27"/>
    <pivotCache cacheId="28" r:id="rId28"/>
    <pivotCache cacheId="29" r:id="rId29"/>
    <pivotCache cacheId="30" r:id="rId30"/>
  </pivotCaches>
  <extLst>
    <ext xmlns:x14="http://schemas.microsoft.com/office/spreadsheetml/2009/9/main" uri="{876F7934-8845-4945-9796-88D515C7AA90}">
      <x14:pivotCaches>
        <pivotCache cacheId="31" r:id="rId31"/>
      </x14:pivotCaches>
    </ext>
    <ext xmlns:x14="http://schemas.microsoft.com/office/spreadsheetml/2009/9/main" uri="{BBE1A952-AA13-448e-AADC-164F8A28A991}">
      <x14:slicerCaches>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2" r:id="rId37"/>
      </x15:timelineCachePivotCaches>
    </ext>
    <ext xmlns:x15="http://schemas.microsoft.com/office/spreadsheetml/2010/11/main" uri="{D0CA8CA8-9F24-4464-BF8E-62219DCF47F9}">
      <x15:timelineCacheRefs>
        <x15:timelineCacheRef r:id="rId38"/>
        <x15:timelineCacheRef r:id="rId3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Excel DashBoard Practice File.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8" i="4" l="1"/>
  <c r="H148" i="4"/>
  <c r="F148" i="4"/>
  <c r="G147" i="4"/>
  <c r="H147" i="4"/>
  <c r="G148" i="4"/>
  <c r="F147" i="4"/>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F64" i="4"/>
  <c r="F6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25A45B-8BA5-4A16-80CE-B14782A4A7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2E798C7-FA74-4C82-9A43-238589DAA68E}" name="WorksheetConnection_Excel DashBoard Practice File.xlsx!Table1" type="102" refreshedVersion="8" minRefreshableVersion="5">
    <extLst>
      <ext xmlns:x15="http://schemas.microsoft.com/office/spreadsheetml/2010/11/main" uri="{DE250136-89BD-433C-8126-D09CA5730AF9}">
        <x15:connection id="Table1" autoDelete="1">
          <x15:rangePr sourceName="_xlcn.WorksheetConnection_ExcelDashBoardPracticeFile.xlsxTable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<sst xmlns="http://schemas.openxmlformats.org/spreadsheetml/2006/main" count="1010" uniqueCount="56">
  <si>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</si>
  <si>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</si>
  <si>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</si>
  <si>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</si>
  <si>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</si>
  <si>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</si>
  <si>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</si>
  <si>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</si>
  <si>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</si>
  <si>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</si>
  <si>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</si>
  <si>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</si>
  <si>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</si>
  <si>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</si>
  <si>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</si>
  <si>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</si>
  <si>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</si>
  <si>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</si>
  <si>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</si>
  <si>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</si>
  <si>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</si>
  <si>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</si>
  <si>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</si>
  <si>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</si>
  <si>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Grand Total</t>
  </si>
  <si>
    <t>Jan</t>
  </si>
  <si>
    <t>Feb</t>
  </si>
  <si>
    <t>Mar</t>
  </si>
  <si>
    <t>Apr</t>
  </si>
  <si>
    <t>May</t>
  </si>
  <si>
    <t>Jun</t>
  </si>
  <si>
    <t>Jul</t>
  </si>
  <si>
    <t>Aug</t>
  </si>
  <si>
    <t>Sep</t>
  </si>
  <si>
    <t>Oct</t>
  </si>
  <si>
    <t>Nov</t>
  </si>
  <si>
    <t>Dec</t>
  </si>
  <si>
    <t>Row Labels</t>
  </si>
  <si>
    <t>Sum of Amount</t>
  </si>
  <si>
    <t>months total amount</t>
  </si>
  <si>
    <t>Count of Amount</t>
  </si>
  <si>
    <t>Products vs quantity</t>
  </si>
  <si>
    <t>Sum of Units</t>
  </si>
  <si>
    <t>Top 3 products</t>
  </si>
  <si>
    <t>bottom 3 products</t>
  </si>
  <si>
    <t>Sales  of Products by Quantity</t>
  </si>
  <si>
    <t>Top 3 sales mans</t>
  </si>
  <si>
    <t>bottom 3 sales mans</t>
  </si>
  <si>
    <t>Count of Date</t>
  </si>
  <si>
    <t xml:space="preserve"> Orders Date</t>
  </si>
  <si>
    <t>values for display</t>
  </si>
  <si>
    <t>orders Date</t>
  </si>
  <si>
    <t>units</t>
  </si>
  <si>
    <t>amount</t>
  </si>
  <si>
    <t>tread chat</t>
  </si>
  <si>
    <t>Average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</si>
</sst>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0" x14ac:knownFonts="1">
    <font>
      <sz val="11"/>
      <color theme="1"/>
      <name val="Aptos Narrow"/>
      <family val="2"/>
      <scheme val="minor"/>
    </font>
    <font>
      <b/>
      <sz val="14"/>
      <color rgb="FFFF0000"/>
      <name val="Aptos Narrow"/>
      <family val="2"/>
      <scheme val="minor"/>
    </font>
    <font>
      <b/>
      <sz val="12"/>
      <color theme="1"/>
      <name val="Aptos Narrow"/>
      <family val="2"/>
      <scheme val="minor"/>
    </font>
    <font>
      <sz val="11"/>
      <color theme="1"/>
      <name val="Aptos Narrow"/>
      <family val="2"/>
      <scheme val="minor"/>
    </font>
    <font>
      <b/>
      <sz val="11"/>
      <color rgb="FFFF0000"/>
      <name val="Aptos Narrow"/>
      <family val="2"/>
      <scheme val="minor"/>
    </font>
    <font>
      <sz val="11"/>
      <color rgb="FFFF0000"/>
      <name val="Aptos Narrow"/>
      <family val="2"/>
      <scheme val="minor"/>
    </font>
    <font>
      <sz val="9"/>
      <color theme="1"/>
      <name val="Aptos Narrow"/>
      <family val="2"/>
      <scheme val="minor"/>
    </font>
    <font>
      <b/>
      <sz val="9"/>
      <color rgb="FF104862"/>
      <name val="Aptos Narrow"/>
      <family val="2"/>
      <scheme val="minor"/>
    </font>
    <font>
      <b/>
      <sz val="12"/>
      <color rgb="FFFF0000"/>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right style="thin">
        <color indexed="64"/>
      </right>
      <top style="thin">
        <color indexed="64"/>
      </top>
      <bottom style="thin">
        <color indexed="64"/>
      </bottom>
      <diagonal/>
    </border>
    <border>
      <left/>
      <right style="thin">
        <color indexed="64"/>
      </right>
      <top style="thin">
        <color indexed="64"/>
      </top>
      <bottom style="thin">
        <color theme="4" tint="0.39997558519241921"/>
      </bottom>
      <diagonal/>
    </border>
    <border>
      <left style="thin">
        <color indexed="64"/>
      </left>
      <right/>
      <top style="thin">
        <color indexed="64"/>
      </top>
      <bottom style="thin">
        <color indexed="64"/>
      </bottom>
      <diagonal/>
    </border>
    <border>
      <left style="thin">
        <color indexed="64"/>
      </left>
      <right/>
      <top style="thin">
        <color indexed="64"/>
      </top>
      <bottom style="thin">
        <color theme="4" tint="0.3999755851924192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2">
    <xf numFmtId="0" fontId="0" fillId="0" borderId="0"/>
    <xf numFmtId="43" fontId="3" fillId="0" borderId="0" applyFont="0" applyFill="0" applyBorder="0" applyAlignment="0" applyProtection="0"/>
  </cellStyleXfs>
  <cellXfs count="32">
    <xf numFmtId="0" fontId="0" fillId="0" borderId="0" xfId="0"/>
    <xf numFmtId="0" fontId="2" fillId="3" borderId="1" xfId="0" applyFont="1" applyFill="1" applyBorder="1"/>
    <xf numFmtId="0" fontId="2" fillId="0" borderId="1" xfId="0" applyFont="1" applyBorder="1"/>
    <xf numFmtId="0" fontId="2" fillId="0" borderId="2" xfId="0" applyFont="1" applyBorder="1"/>
    <xf numFmtId="14" fontId="2" fillId="3" borderId="3" xfId="0" applyNumberFormat="1" applyFont="1" applyFill="1" applyBorder="1" applyAlignment="1">
      <alignment horizontal="left"/>
    </xf>
    <xf numFmtId="14" fontId="2" fillId="0" borderId="3" xfId="0" applyNumberFormat="1" applyFont="1" applyBorder="1" applyAlignment="1">
      <alignment horizontal="left"/>
    </xf>
    <xf numFmtId="14" fontId="2" fillId="0" borderId="4" xfId="0" applyNumberFormat="1" applyFont="1" applyBorder="1" applyAlignment="1">
      <alignment horizontal="left"/>
    </xf>
    <xf numFmtId="3" fontId="2" fillId="3" borderId="5" xfId="0" applyNumberFormat="1" applyFont="1" applyFill="1" applyBorder="1"/>
    <xf numFmtId="3" fontId="2" fillId="0" borderId="5" xfId="0" applyNumberFormat="1" applyFont="1" applyBorder="1"/>
    <xf numFmtId="3" fontId="2" fillId="0" borderId="6" xfId="0" applyNumberFormat="1" applyFont="1" applyBorder="1"/>
    <xf numFmtId="0" fontId="1" fillId="2" borderId="7" xfId="0" applyFont="1" applyFill="1" applyBorder="1" applyAlignment="1">
      <alignment horizontal="left"/>
    </xf>
    <xf numFmtId="0" fontId="1" fillId="2" borderId="8" xfId="0" applyFont="1" applyFill="1" applyBorder="1"/>
    <xf numFmtId="0" fontId="1" fillId="2" borderId="9" xfId="0" applyFont="1" applyFill="1" applyBorder="1"/>
    <xf numFmtId="14" fontId="2" fillId="0" borderId="10" xfId="0" applyNumberFormat="1" applyFont="1" applyBorder="1" applyAlignment="1">
      <alignment horizontal="left"/>
    </xf>
    <xf numFmtId="0" fontId="2" fillId="0" borderId="11" xfId="0" applyFont="1" applyBorder="1"/>
    <xf numFmtId="3" fontId="2" fillId="0" borderId="12" xfId="0" applyNumberFormat="1" applyFont="1" applyBorder="1"/>
    <xf numFmtId="0" fontId="0" fillId="0" borderId="0" xfId="0" pivotButton="1"/>
    <xf numFmtId="0" fontId="0" fillId="0" borderId="0" xfId="0" applyAlignment="1">
      <alignment horizontal="left"/>
    </xf>
    <xf numFmtId="0" fontId="4" fillId="0" borderId="0" xfId="0" applyFont="1"/>
    <xf numFmtId="164" fontId="0" fillId="0" borderId="0" xfId="1" applyNumberFormat="1" applyFont="1"/>
    <xf numFmtId="164" fontId="0" fillId="0" borderId="0" xfId="0" applyNumberFormat="1"/>
    <xf numFmtId="0" fontId="0" fillId="2" borderId="0" xfId="0" applyFill="1"/>
    <xf numFmtId="0" fontId="5" fillId="2" borderId="0" xfId="0" applyFont="1" applyFill="1"/>
    <xf numFmtId="0" fontId="6" fillId="2" borderId="0" xfId="0" applyFont="1" applyFill="1"/>
    <xf numFmtId="0" fontId="7" fillId="2" borderId="0" xfId="0" applyFont="1" applyFill="1" applyAlignment="1">
      <alignment horizontal="center" vertical="center"/>
    </xf>
    <xf numFmtId="0" fontId="8" fillId="0" borderId="0" xfId="0" applyFont="1"/>
    <xf numFmtId="0" fontId="0" fillId="0" borderId="0" xfId="0" applyAlignment="1">
      <alignment horizontal="center"/>
    </xf>
    <xf numFmtId="0" fontId="0" fillId="0" borderId="0" xfId="0" pivotButton="1" applyAlignment="1">
      <alignment horizontal="center"/>
    </xf>
    <xf numFmtId="164" fontId="0" fillId="0" borderId="0" xfId="0" applyNumberFormat="1" applyAlignment="1">
      <alignment horizontal="center"/>
    </xf>
    <xf numFmtId="0" fontId="9" fillId="3" borderId="13" xfId="0" applyFont="1" applyFill="1" applyBorder="1" applyAlignment="1">
      <alignment horizontal="center"/>
    </xf>
    <xf numFmtId="43" fontId="0" fillId="0" borderId="0" xfId="0" applyNumberFormat="1"/>
    <xf numFmtId="0" fontId="0" fillId="0" borderId="0" xfId="0" applyNumberFormat="1"/>
  </cellXfs>
  <cellStyles count="2">
    <cellStyle name="Comma" xfId="1" builtinId="3"/>
    <cellStyle name="Normal" xfId="0" builtinId="0"/>
  </cellStyles>
  <dxfs count="33">
    <dxf>
      <numFmt numFmtId="35" formatCode="_ * #,##0.00_ ;_ * \-#,##0.00_ ;_ * &quot;-&quot;??_ ;_ @_ "/>
    </dxf>
    <dxf>
      <numFmt numFmtId="164" formatCode="_ * #,##0_ ;_ * \-#,##0_ ;_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 * #,##0_ ;_ * \-#,##0_ ;_ * &quot;-&quot;??_ ;_ @_ "/>
    </dxf>
    <dxf>
      <alignment horizontal="center"/>
    </dxf>
    <dxf>
      <alignment horizontal="center"/>
    </dxf>
    <dxf>
      <numFmt numFmtId="164" formatCode="_ * #,##0_ ;_ * \-#,##0_ ;_ * &quot;-&quot;??_ ;_ @_ "/>
    </dxf>
    <dxf>
      <alignment horizontal="center"/>
    </dxf>
    <dxf>
      <alignment horizontal="center"/>
    </dxf>
    <dxf>
      <numFmt numFmtId="164" formatCode="_ * #,##0_ ;_ * \-#,##0_ ;_ * &quot;-&quot;??_ ;_ @_ "/>
    </dxf>
    <dxf>
      <numFmt numFmtId="164" formatCode="_ * #,##0_ ;_ * \-#,##0_ ;_ * &quot;-&quot;??_ ;_ @_ "/>
    </dxf>
    <dxf>
      <alignment horizontal="center"/>
    </dxf>
    <dxf>
      <alignment horizontal="center"/>
    </dxf>
    <dxf>
      <font>
        <b/>
        <i val="0"/>
        <strike val="0"/>
        <condense val="0"/>
        <extend val="0"/>
        <outline val="0"/>
        <shadow val="0"/>
        <u val="none"/>
        <vertAlign val="baseline"/>
        <sz val="12"/>
        <color theme="1"/>
        <name val="Aptos Narrow"/>
        <family val="2"/>
        <scheme val="minor"/>
      </font>
      <numFmt numFmtId="3" formatCode="#,##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numFmt numFmtId="19" formatCode="dd/mm/yyyy"/>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Narrow"/>
        <family val="2"/>
        <scheme val="minor"/>
      </font>
    </dxf>
    <dxf>
      <border outline="0">
        <bottom style="thin">
          <color indexed="64"/>
        </bottom>
      </border>
    </dxf>
    <dxf>
      <font>
        <b/>
        <i val="0"/>
        <strike val="0"/>
        <condense val="0"/>
        <extend val="0"/>
        <outline val="0"/>
        <shadow val="0"/>
        <u val="none"/>
        <vertAlign val="baseline"/>
        <sz val="14"/>
        <color rgb="FFFF0000"/>
        <name val="Aptos Narrow"/>
        <family val="2"/>
        <scheme val="minor"/>
      </font>
      <fill>
        <patternFill patternType="solid">
          <fgColor indexed="64"/>
          <bgColor rgb="FFFFFF0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microsoft.com/office/2011/relationships/timelineCache" Target="timelineCaches/timelineCache2.xml"/><Relationship Id="rId21" Type="http://schemas.openxmlformats.org/officeDocument/2006/relationships/pivotCacheDefinition" Target="pivotCache/pivotCacheDefinition13.xml"/><Relationship Id="rId34" Type="http://schemas.microsoft.com/office/2007/relationships/slicerCache" Target="slicerCaches/slicerCache3.xml"/><Relationship Id="rId42" Type="http://schemas.openxmlformats.org/officeDocument/2006/relationships/styles" Target="styles.xml"/><Relationship Id="rId47" Type="http://schemas.microsoft.com/office/2017/06/relationships/rdRichValueStructure" Target="richData/rdrichvaluestructure.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21.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microsoft.com/office/2007/relationships/slicerCache" Target="slicerCaches/slicerCache1.xml"/><Relationship Id="rId37" Type="http://schemas.openxmlformats.org/officeDocument/2006/relationships/pivotCacheDefinition" Target="pivotCache/pivotCacheDefinition24.xml"/><Relationship Id="rId40" Type="http://schemas.openxmlformats.org/officeDocument/2006/relationships/theme" Target="theme/theme1.xml"/><Relationship Id="rId45"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microsoft.com/office/2007/relationships/slicerCache" Target="slicerCaches/slicerCache5.xml"/><Relationship Id="rId49" Type="http://schemas.openxmlformats.org/officeDocument/2006/relationships/powerPivotData" Target="model/item.data"/><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pivotCacheDefinition" Target="pivotCache/pivotCacheDefinition23.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microsoft.com/office/2007/relationships/slicerCache" Target="slicerCaches/slicerCache4.xml"/><Relationship Id="rId43" Type="http://schemas.openxmlformats.org/officeDocument/2006/relationships/sharedStrings" Target="sharedStrings.xml"/><Relationship Id="rId48"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microsoft.com/office/2007/relationships/slicerCache" Target="slicerCaches/slicerCache2.xml"/><Relationship Id="rId38" Type="http://schemas.microsoft.com/office/2011/relationships/timelineCache" Target="timelineCaches/timelineCache1.xml"/><Relationship Id="rId46" Type="http://schemas.microsoft.com/office/2017/06/relationships/rdRichValue" Target="richData/rdrichvalue.xml"/><Relationship Id="rId20" Type="http://schemas.openxmlformats.org/officeDocument/2006/relationships/pivotCacheDefinition" Target="pivotCache/pivotCacheDefinition12.xml"/><Relationship Id="rId41"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c:f>
              <c:strCache>
                <c:ptCount val="1"/>
                <c:pt idx="0">
                  <c:v>Total</c:v>
                </c:pt>
              </c:strCache>
            </c:strRef>
          </c:tx>
          <c:spPr>
            <a:ln w="28575" cap="rnd">
              <a:solidFill>
                <a:schemeClr val="accent1"/>
              </a:solidFill>
              <a:round/>
            </a:ln>
            <a:effectLst/>
          </c:spPr>
          <c:marker>
            <c:symbol val="none"/>
          </c:marker>
          <c:cat>
            <c:strRef>
              <c:f>'pivot tables'!$B$4:$B$16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tables'!$C$4:$C$16</c:f>
              <c:numCache>
                <c:formatCode>General</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FC10-4329-99F3-3CCCCEE7A346}"/>
            </c:ext>
          </c:extLst>
        </c:ser>
        <c:dLbls>
          <c:showLegendKey val="0"/>
          <c:showVal val="0"/>
          <c:showCatName val="0"/>
          <c:showSerName val="0"/>
          <c:showPercent val="0"/>
          <c:showBubbleSize val="0"/>
        </c:dLbls>
        <c:smooth val="0"/>
        <c:axId val="2060408960"/>
        <c:axId val="2060409440"/>
      </c:lineChart>
      <c:catAx>
        <c:axId val="206040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60409440"/>
        <c:crosses val="autoZero"/>
        <c:auto val="1"/>
        <c:lblAlgn val="ctr"/>
        <c:lblOffset val="100"/>
        <c:noMultiLvlLbl val="0"/>
      </c:catAx>
      <c:valAx>
        <c:axId val="206040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6040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1">
              <a:lumMod val="40000"/>
              <a:lumOff val="60000"/>
            </a:schemeClr>
          </a:solidFill>
          <a:ln>
            <a:noFill/>
          </a:ln>
          <a:effectLst/>
        </c:spPr>
      </c:pivotFmt>
      <c:pivotFmt>
        <c:idx val="6"/>
        <c:spPr>
          <a:solidFill>
            <a:srgbClr val="C00000"/>
          </a:solidFill>
          <a:ln>
            <a:noFill/>
          </a:ln>
          <a:effectLst/>
        </c:spPr>
      </c:pivotFmt>
      <c:pivotFmt>
        <c:idx val="7"/>
        <c:spPr>
          <a:solidFill>
            <a:schemeClr val="accent3">
              <a:lumMod val="60000"/>
              <a:lumOff val="40000"/>
            </a:schemeClr>
          </a:solidFill>
          <a:ln>
            <a:noFill/>
          </a:ln>
          <a:effectLst/>
        </c:spPr>
      </c:pivotFmt>
    </c:pivotFmts>
    <c:plotArea>
      <c:layout>
        <c:manualLayout>
          <c:layoutTarget val="inner"/>
          <c:xMode val="edge"/>
          <c:yMode val="edge"/>
          <c:x val="0.1370339663763234"/>
          <c:y val="3.3739741327367144E-2"/>
          <c:w val="0.79777837018446252"/>
          <c:h val="0.82356125252889323"/>
        </c:manualLayout>
      </c:layout>
      <c:barChart>
        <c:barDir val="bar"/>
        <c:grouping val="clustered"/>
        <c:varyColors val="0"/>
        <c:ser>
          <c:idx val="0"/>
          <c:order val="0"/>
          <c:tx>
            <c:strRef>
              <c:f>'pivot tables'!$C$20</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1DCE-403E-9ED5-70960E60752D}"/>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1DCE-403E-9ED5-70960E60752D}"/>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1DCE-403E-9ED5-70960E60752D}"/>
              </c:ext>
            </c:extLst>
          </c:dPt>
          <c:dPt>
            <c:idx val="3"/>
            <c:invertIfNegative val="0"/>
            <c:bubble3D val="0"/>
            <c:spPr>
              <a:solidFill>
                <a:srgbClr val="C00000"/>
              </a:solidFill>
              <a:ln>
                <a:noFill/>
              </a:ln>
              <a:effectLst/>
            </c:spPr>
            <c:extLst>
              <c:ext xmlns:c16="http://schemas.microsoft.com/office/drawing/2014/chart" uri="{C3380CC4-5D6E-409C-BE32-E72D297353CC}">
                <c16:uniqueId val="{00000004-1DCE-403E-9ED5-70960E60752D}"/>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1DCE-403E-9ED5-70960E6075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tables'!$B$21:$B$27</c:f>
              <c:strCache>
                <c:ptCount val="6"/>
                <c:pt idx="0">
                  <c:v>4K LED TV's</c:v>
                </c:pt>
                <c:pt idx="1">
                  <c:v>Furniture</c:v>
                </c:pt>
                <c:pt idx="2">
                  <c:v>Laptops</c:v>
                </c:pt>
                <c:pt idx="3">
                  <c:v>LED TV's</c:v>
                </c:pt>
                <c:pt idx="4">
                  <c:v>Mobiles</c:v>
                </c:pt>
                <c:pt idx="5">
                  <c:v>Speakers</c:v>
                </c:pt>
              </c:strCache>
            </c:strRef>
          </c:cat>
          <c:val>
            <c:numRef>
              <c:f>'pivot tables'!$C$21:$C$27</c:f>
              <c:numCache>
                <c:formatCode>General</c:formatCode>
                <c:ptCount val="6"/>
                <c:pt idx="0">
                  <c:v>46830474</c:v>
                </c:pt>
                <c:pt idx="1">
                  <c:v>5263843</c:v>
                </c:pt>
                <c:pt idx="2">
                  <c:v>48711017</c:v>
                </c:pt>
                <c:pt idx="3">
                  <c:v>3523539</c:v>
                </c:pt>
                <c:pt idx="4">
                  <c:v>10414063</c:v>
                </c:pt>
                <c:pt idx="5">
                  <c:v>3988957</c:v>
                </c:pt>
              </c:numCache>
            </c:numRef>
          </c:val>
          <c:extLst>
            <c:ext xmlns:c16="http://schemas.microsoft.com/office/drawing/2014/chart" uri="{C3380CC4-5D6E-409C-BE32-E72D297353CC}">
              <c16:uniqueId val="{00000000-1DCE-403E-9ED5-70960E60752D}"/>
            </c:ext>
          </c:extLst>
        </c:ser>
        <c:dLbls>
          <c:showLegendKey val="0"/>
          <c:showVal val="0"/>
          <c:showCatName val="0"/>
          <c:showSerName val="0"/>
          <c:showPercent val="0"/>
          <c:showBubbleSize val="0"/>
        </c:dLbls>
        <c:gapWidth val="182"/>
        <c:axId val="1743085008"/>
        <c:axId val="1743085488"/>
      </c:barChart>
      <c:catAx>
        <c:axId val="174308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43085488"/>
        <c:crosses val="autoZero"/>
        <c:auto val="1"/>
        <c:lblAlgn val="ctr"/>
        <c:lblOffset val="100"/>
        <c:noMultiLvlLbl val="0"/>
      </c:catAx>
      <c:valAx>
        <c:axId val="174308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4308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tables!PivotTable9</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pivotFmt>
      <c:pivotFmt>
        <c:idx val="4"/>
        <c:spPr>
          <a:solidFill>
            <a:srgbClr val="FF0000"/>
          </a:solidFill>
          <a:ln>
            <a:noFill/>
          </a:ln>
          <a:effectLst/>
        </c:spPr>
      </c:pivotFmt>
      <c:pivotFmt>
        <c:idx val="5"/>
        <c:spPr>
          <a:solidFill>
            <a:schemeClr val="accent6">
              <a:lumMod val="60000"/>
              <a:lumOff val="40000"/>
            </a:schemeClr>
          </a:solidFill>
          <a:ln>
            <a:noFill/>
          </a:ln>
          <a:effectLst/>
        </c:spPr>
      </c:pivotFmt>
      <c:pivotFmt>
        <c:idx val="6"/>
        <c:spPr>
          <a:solidFill>
            <a:srgbClr val="0070C0"/>
          </a:solidFill>
          <a:ln>
            <a:noFill/>
          </a:ln>
          <a:effectLst/>
        </c:spPr>
      </c:pivotFmt>
      <c:pivotFmt>
        <c:idx val="7"/>
        <c:spPr>
          <a:solidFill>
            <a:schemeClr val="accent5">
              <a:lumMod val="40000"/>
              <a:lumOff val="60000"/>
            </a:schemeClr>
          </a:solidFill>
          <a:ln>
            <a:noFill/>
          </a:ln>
          <a:effectLst/>
        </c:spPr>
      </c:pivotFmt>
    </c:pivotFmts>
    <c:plotArea>
      <c:layout>
        <c:manualLayout>
          <c:layoutTarget val="inner"/>
          <c:xMode val="edge"/>
          <c:yMode val="edge"/>
          <c:x val="4.7847441381602074E-2"/>
          <c:y val="9.3661800539145634E-2"/>
          <c:w val="0.9140622699526324"/>
          <c:h val="0.7810169399014808"/>
        </c:manualLayout>
      </c:layout>
      <c:barChart>
        <c:barDir val="col"/>
        <c:grouping val="clustered"/>
        <c:varyColors val="0"/>
        <c:ser>
          <c:idx val="0"/>
          <c:order val="0"/>
          <c:tx>
            <c:strRef>
              <c:f>'pivot tables'!$C$48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3206-45D7-A2CF-C5D265BDD96E}"/>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0F92-4386-B986-BE7832D15739}"/>
              </c:ext>
            </c:extLst>
          </c:dPt>
          <c:dPt>
            <c:idx val="2"/>
            <c:invertIfNegative val="0"/>
            <c:bubble3D val="0"/>
            <c:spPr>
              <a:solidFill>
                <a:srgbClr val="0070C0"/>
              </a:solidFill>
              <a:ln>
                <a:noFill/>
              </a:ln>
              <a:effectLst/>
            </c:spPr>
            <c:extLst>
              <c:ext xmlns:c16="http://schemas.microsoft.com/office/drawing/2014/chart" uri="{C3380CC4-5D6E-409C-BE32-E72D297353CC}">
                <c16:uniqueId val="{00000004-0F92-4386-B986-BE7832D15739}"/>
              </c:ext>
            </c:extLst>
          </c:dPt>
          <c:dPt>
            <c:idx val="3"/>
            <c:invertIfNegative val="0"/>
            <c:bubble3D val="0"/>
            <c:spPr>
              <a:solidFill>
                <a:srgbClr val="FF0000"/>
              </a:solidFill>
              <a:ln>
                <a:noFill/>
              </a:ln>
              <a:effectLst/>
            </c:spPr>
            <c:extLst>
              <c:ext xmlns:c16="http://schemas.microsoft.com/office/drawing/2014/chart" uri="{C3380CC4-5D6E-409C-BE32-E72D297353CC}">
                <c16:uniqueId val="{00000002-0F92-4386-B986-BE7832D15739}"/>
              </c:ext>
            </c:extLst>
          </c:dPt>
          <c:dPt>
            <c:idx val="4"/>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0F92-4386-B986-BE7832D15739}"/>
              </c:ext>
            </c:extLst>
          </c:dPt>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0F92-4386-B986-BE7832D157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tables'!$B$49:$B$55</c:f>
              <c:strCache>
                <c:ptCount val="6"/>
                <c:pt idx="0">
                  <c:v>Bapatla</c:v>
                </c:pt>
                <c:pt idx="1">
                  <c:v>Chirala</c:v>
                </c:pt>
                <c:pt idx="2">
                  <c:v>Guntur</c:v>
                </c:pt>
                <c:pt idx="3">
                  <c:v>Ongole</c:v>
                </c:pt>
                <c:pt idx="4">
                  <c:v>Tenali</c:v>
                </c:pt>
                <c:pt idx="5">
                  <c:v>Vijayawada</c:v>
                </c:pt>
              </c:strCache>
            </c:strRef>
          </c:cat>
          <c:val>
            <c:numRef>
              <c:f>'pivot tables'!$C$49:$C$55</c:f>
              <c:numCache>
                <c:formatCode>General</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0F92-4386-B986-BE7832D15739}"/>
            </c:ext>
          </c:extLst>
        </c:ser>
        <c:dLbls>
          <c:showLegendKey val="0"/>
          <c:showVal val="0"/>
          <c:showCatName val="0"/>
          <c:showSerName val="0"/>
          <c:showPercent val="0"/>
          <c:showBubbleSize val="0"/>
        </c:dLbls>
        <c:gapWidth val="219"/>
        <c:overlap val="-27"/>
        <c:axId val="415934304"/>
        <c:axId val="415929504"/>
      </c:barChart>
      <c:catAx>
        <c:axId val="41593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15929504"/>
        <c:crosses val="autoZero"/>
        <c:auto val="1"/>
        <c:lblAlgn val="ctr"/>
        <c:lblOffset val="100"/>
        <c:noMultiLvlLbl val="0"/>
      </c:catAx>
      <c:valAx>
        <c:axId val="415929504"/>
        <c:scaling>
          <c:orientation val="minMax"/>
        </c:scaling>
        <c:delete val="1"/>
        <c:axPos val="l"/>
        <c:numFmt formatCode="General" sourceLinked="1"/>
        <c:majorTickMark val="none"/>
        <c:minorTickMark val="none"/>
        <c:tickLblPos val="nextTo"/>
        <c:crossAx val="41593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tables!PivotTable18</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chemeClr val="accent3">
              <a:lumMod val="20000"/>
              <a:lumOff val="80000"/>
            </a:schemeClr>
          </a:solidFill>
          <a:ln>
            <a:noFill/>
          </a:ln>
          <a:effectLst/>
        </c:spPr>
      </c:pivotFmt>
      <c:pivotFmt>
        <c:idx val="7"/>
        <c:spPr>
          <a:solidFill>
            <a:srgbClr val="00B050"/>
          </a:solidFill>
          <a:ln>
            <a:noFill/>
          </a:ln>
          <a:effectLst/>
        </c:spPr>
      </c:pivotFmt>
    </c:pivotFmts>
    <c:plotArea>
      <c:layout>
        <c:manualLayout>
          <c:layoutTarget val="inner"/>
          <c:xMode val="edge"/>
          <c:yMode val="edge"/>
          <c:x val="5.7221907839249193E-2"/>
          <c:y val="0.21879137822568531"/>
          <c:w val="0.86033618303715309"/>
          <c:h val="0.68702661263288611"/>
        </c:manualLayout>
      </c:layout>
      <c:barChart>
        <c:barDir val="col"/>
        <c:grouping val="clustered"/>
        <c:varyColors val="0"/>
        <c:ser>
          <c:idx val="0"/>
          <c:order val="0"/>
          <c:tx>
            <c:strRef>
              <c:f>'pivot tables'!$F$94</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C809-497F-989A-328BF4E6842A}"/>
              </c:ext>
            </c:extLst>
          </c:dPt>
          <c:dPt>
            <c:idx val="1"/>
            <c:invertIfNegative val="0"/>
            <c:bubble3D val="0"/>
            <c:spPr>
              <a:solidFill>
                <a:srgbClr val="00B050"/>
              </a:solidFill>
              <a:ln>
                <a:noFill/>
              </a:ln>
              <a:effectLst/>
            </c:spPr>
            <c:extLst>
              <c:ext xmlns:c16="http://schemas.microsoft.com/office/drawing/2014/chart" uri="{C3380CC4-5D6E-409C-BE32-E72D297353CC}">
                <c16:uniqueId val="{00000005-C809-497F-989A-328BF4E6842A}"/>
              </c:ext>
            </c:extLst>
          </c:dPt>
          <c:dPt>
            <c:idx val="2"/>
            <c:invertIfNegative val="0"/>
            <c:bubble3D val="0"/>
            <c:spPr>
              <a:solidFill>
                <a:srgbClr val="00B050"/>
              </a:solidFill>
              <a:ln>
                <a:noFill/>
              </a:ln>
              <a:effectLst/>
            </c:spPr>
            <c:extLst>
              <c:ext xmlns:c16="http://schemas.microsoft.com/office/drawing/2014/chart" uri="{C3380CC4-5D6E-409C-BE32-E72D297353CC}">
                <c16:uniqueId val="{00000001-C809-497F-989A-328BF4E6842A}"/>
              </c:ext>
            </c:extLst>
          </c:dPt>
          <c:dPt>
            <c:idx val="4"/>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4-C809-497F-989A-328BF4E6842A}"/>
              </c:ext>
            </c:extLst>
          </c:dPt>
          <c:dPt>
            <c:idx val="5"/>
            <c:invertIfNegative val="0"/>
            <c:bubble3D val="0"/>
            <c:spPr>
              <a:solidFill>
                <a:srgbClr val="00B050"/>
              </a:solidFill>
              <a:ln>
                <a:noFill/>
              </a:ln>
              <a:effectLst/>
            </c:spPr>
            <c:extLst>
              <c:ext xmlns:c16="http://schemas.microsoft.com/office/drawing/2014/chart" uri="{C3380CC4-5D6E-409C-BE32-E72D297353CC}">
                <c16:uniqueId val="{00000003-C809-497F-989A-328BF4E684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tables'!$E$95:$E$101</c:f>
              <c:strCache>
                <c:ptCount val="6"/>
                <c:pt idx="0">
                  <c:v>4K LED TV's</c:v>
                </c:pt>
                <c:pt idx="1">
                  <c:v>Furniture</c:v>
                </c:pt>
                <c:pt idx="2">
                  <c:v>Laptops</c:v>
                </c:pt>
                <c:pt idx="3">
                  <c:v>LED TV's</c:v>
                </c:pt>
                <c:pt idx="4">
                  <c:v>Mobiles</c:v>
                </c:pt>
                <c:pt idx="5">
                  <c:v>Speakers</c:v>
                </c:pt>
              </c:strCache>
            </c:strRef>
          </c:cat>
          <c:val>
            <c:numRef>
              <c:f>'pivot tables'!$F$95:$F$101</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C809-497F-989A-328BF4E6842A}"/>
            </c:ext>
          </c:extLst>
        </c:ser>
        <c:dLbls>
          <c:showLegendKey val="0"/>
          <c:showVal val="0"/>
          <c:showCatName val="0"/>
          <c:showSerName val="0"/>
          <c:showPercent val="0"/>
          <c:showBubbleSize val="0"/>
        </c:dLbls>
        <c:gapWidth val="219"/>
        <c:overlap val="-27"/>
        <c:axId val="1148217936"/>
        <c:axId val="1148218896"/>
      </c:barChart>
      <c:catAx>
        <c:axId val="114821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8218896"/>
        <c:crosses val="autoZero"/>
        <c:auto val="1"/>
        <c:lblAlgn val="ctr"/>
        <c:lblOffset val="100"/>
        <c:noMultiLvlLbl val="0"/>
      </c:catAx>
      <c:valAx>
        <c:axId val="1148218896"/>
        <c:scaling>
          <c:orientation val="minMax"/>
        </c:scaling>
        <c:delete val="1"/>
        <c:axPos val="l"/>
        <c:numFmt formatCode="General" sourceLinked="1"/>
        <c:majorTickMark val="none"/>
        <c:minorTickMark val="none"/>
        <c:tickLblPos val="nextTo"/>
        <c:crossAx val="114821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tables!PivotTable19</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tx2">
              <a:lumMod val="50000"/>
              <a:lumOff val="50000"/>
            </a:schemeClr>
          </a:solidFill>
          <a:ln>
            <a:noFill/>
          </a:ln>
          <a:effectLst/>
        </c:spPr>
      </c:pivotFmt>
      <c:pivotFmt>
        <c:idx val="5"/>
        <c:spPr>
          <a:solidFill>
            <a:schemeClr val="accent2"/>
          </a:solidFill>
          <a:ln>
            <a:noFill/>
          </a:ln>
          <a:effectLst/>
        </c:spPr>
      </c:pivotFmt>
    </c:pivotFmts>
    <c:plotArea>
      <c:layout>
        <c:manualLayout>
          <c:layoutTarget val="inner"/>
          <c:xMode val="edge"/>
          <c:yMode val="edge"/>
          <c:x val="0.17862268430038478"/>
          <c:y val="6.5641046845482526E-2"/>
          <c:w val="0.65441378080167167"/>
          <c:h val="0.81948712117492306"/>
        </c:manualLayout>
      </c:layout>
      <c:barChart>
        <c:barDir val="bar"/>
        <c:grouping val="clustered"/>
        <c:varyColors val="0"/>
        <c:ser>
          <c:idx val="0"/>
          <c:order val="0"/>
          <c:tx>
            <c:strRef>
              <c:f>'pivot tables'!$K$67</c:f>
              <c:strCache>
                <c:ptCount val="1"/>
                <c:pt idx="0">
                  <c:v>Total</c:v>
                </c:pt>
              </c:strCache>
            </c:strRef>
          </c:tx>
          <c:spPr>
            <a:solidFill>
              <a:schemeClr val="accent6"/>
            </a:solidFill>
            <a:ln>
              <a:noFill/>
            </a:ln>
            <a:effectLst/>
          </c:spPr>
          <c:invertIfNegative val="0"/>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FE07-44FC-9DF1-E207B988860E}"/>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3-FE07-44FC-9DF1-E207B988860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tables'!$J$68:$J$74</c:f>
              <c:strCache>
                <c:ptCount val="6"/>
                <c:pt idx="0">
                  <c:v>Laptops</c:v>
                </c:pt>
                <c:pt idx="1">
                  <c:v>4K LED TV's</c:v>
                </c:pt>
                <c:pt idx="2">
                  <c:v>Speakers</c:v>
                </c:pt>
                <c:pt idx="3">
                  <c:v>Furniture</c:v>
                </c:pt>
                <c:pt idx="4">
                  <c:v>Mobiles</c:v>
                </c:pt>
                <c:pt idx="5">
                  <c:v>LED TV's</c:v>
                </c:pt>
              </c:strCache>
            </c:strRef>
          </c:cat>
          <c:val>
            <c:numRef>
              <c:f>'pivot tables'!$K$68:$K$74</c:f>
              <c:numCache>
                <c:formatCode>General</c:formatCode>
                <c:ptCount val="6"/>
                <c:pt idx="0">
                  <c:v>1615</c:v>
                </c:pt>
                <c:pt idx="1">
                  <c:v>1503</c:v>
                </c:pt>
                <c:pt idx="2">
                  <c:v>1457</c:v>
                </c:pt>
                <c:pt idx="3">
                  <c:v>1233</c:v>
                </c:pt>
                <c:pt idx="4">
                  <c:v>1168</c:v>
                </c:pt>
                <c:pt idx="5">
                  <c:v>694</c:v>
                </c:pt>
              </c:numCache>
            </c:numRef>
          </c:val>
          <c:extLst>
            <c:ext xmlns:c16="http://schemas.microsoft.com/office/drawing/2014/chart" uri="{C3380CC4-5D6E-409C-BE32-E72D297353CC}">
              <c16:uniqueId val="{00000006-5DEE-4B29-ACA2-F9DE7AD23A31}"/>
            </c:ext>
          </c:extLst>
        </c:ser>
        <c:dLbls>
          <c:showLegendKey val="0"/>
          <c:showVal val="0"/>
          <c:showCatName val="0"/>
          <c:showSerName val="0"/>
          <c:showPercent val="0"/>
          <c:showBubbleSize val="0"/>
        </c:dLbls>
        <c:gapWidth val="182"/>
        <c:axId val="1148192496"/>
        <c:axId val="1148188656"/>
      </c:barChart>
      <c:catAx>
        <c:axId val="114819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8188656"/>
        <c:crosses val="autoZero"/>
        <c:auto val="1"/>
        <c:lblAlgn val="ctr"/>
        <c:lblOffset val="100"/>
        <c:noMultiLvlLbl val="0"/>
      </c:catAx>
      <c:valAx>
        <c:axId val="1148188656"/>
        <c:scaling>
          <c:orientation val="minMax"/>
        </c:scaling>
        <c:delete val="1"/>
        <c:axPos val="b"/>
        <c:numFmt formatCode="General" sourceLinked="1"/>
        <c:majorTickMark val="none"/>
        <c:minorTickMark val="none"/>
        <c:tickLblPos val="nextTo"/>
        <c:crossAx val="114819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tables!PivotTable20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pivotFmt>
      <c:pivotFmt>
        <c:idx val="4"/>
        <c:spPr>
          <a:solidFill>
            <a:srgbClr val="FF0000"/>
          </a:solidFill>
          <a:ln>
            <a:noFill/>
          </a:ln>
          <a:effectLst/>
        </c:spPr>
      </c:pivotFmt>
      <c:pivotFmt>
        <c:idx val="5"/>
        <c:spPr>
          <a:solidFill>
            <a:schemeClr val="tx2"/>
          </a:solidFill>
          <a:ln>
            <a:noFill/>
          </a:ln>
          <a:effectLst/>
        </c:spPr>
      </c:pivotFmt>
      <c:pivotFmt>
        <c:idx val="6"/>
        <c:spPr>
          <a:solidFill>
            <a:srgbClr val="FF0000"/>
          </a:solidFill>
          <a:ln>
            <a:noFill/>
          </a:ln>
          <a:effectLst/>
        </c:spPr>
      </c:pivotFmt>
      <c:pivotFmt>
        <c:idx val="7"/>
        <c:spPr>
          <a:solidFill>
            <a:schemeClr val="accent2">
              <a:lumMod val="75000"/>
            </a:schemeClr>
          </a:solidFill>
          <a:ln>
            <a:noFill/>
          </a:ln>
          <a:effectLst/>
        </c:spPr>
      </c:pivotFmt>
      <c:pivotFmt>
        <c:idx val="8"/>
        <c:spPr>
          <a:solidFill>
            <a:schemeClr val="accent2">
              <a:lumMod val="75000"/>
            </a:schemeClr>
          </a:solidFill>
          <a:ln>
            <a:noFill/>
          </a:ln>
          <a:effectLst/>
        </c:spPr>
      </c:pivotFmt>
    </c:pivotFmts>
    <c:plotArea>
      <c:layout>
        <c:manualLayout>
          <c:layoutTarget val="inner"/>
          <c:xMode val="edge"/>
          <c:yMode val="edge"/>
          <c:x val="0.22149216001969918"/>
          <c:y val="0.28643299795858851"/>
          <c:w val="0.59849786018353079"/>
          <c:h val="0.62968613298337706"/>
        </c:manualLayout>
      </c:layout>
      <c:barChart>
        <c:barDir val="bar"/>
        <c:grouping val="clustered"/>
        <c:varyColors val="0"/>
        <c:ser>
          <c:idx val="0"/>
          <c:order val="0"/>
          <c:tx>
            <c:strRef>
              <c:f>'pivot tables'!$K$78</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AFF9-4517-9EBB-45836C6EBC29}"/>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6-37C4-4FE7-B3ED-A14ED80D68B8}"/>
              </c:ext>
            </c:extLst>
          </c:dPt>
          <c:dPt>
            <c:idx val="2"/>
            <c:invertIfNegative val="0"/>
            <c:bubble3D val="0"/>
            <c:spPr>
              <a:solidFill>
                <a:schemeClr val="tx2"/>
              </a:solidFill>
              <a:ln>
                <a:noFill/>
              </a:ln>
              <a:effectLst/>
            </c:spPr>
            <c:extLst>
              <c:ext xmlns:c16="http://schemas.microsoft.com/office/drawing/2014/chart" uri="{C3380CC4-5D6E-409C-BE32-E72D297353CC}">
                <c16:uniqueId val="{00000003-AFF9-4517-9EBB-45836C6EBC29}"/>
              </c:ext>
            </c:extLst>
          </c:dPt>
          <c:dPt>
            <c:idx val="3"/>
            <c:invertIfNegative val="0"/>
            <c:bubble3D val="0"/>
            <c:spPr>
              <a:solidFill>
                <a:schemeClr val="tx2"/>
              </a:solidFill>
              <a:ln>
                <a:noFill/>
              </a:ln>
              <a:effectLst/>
            </c:spPr>
            <c:extLst>
              <c:ext xmlns:c16="http://schemas.microsoft.com/office/drawing/2014/chart" uri="{C3380CC4-5D6E-409C-BE32-E72D297353CC}">
                <c16:uniqueId val="{00000005-AFF9-4517-9EBB-45836C6EBC29}"/>
              </c:ext>
            </c:extLst>
          </c:dPt>
          <c:dPt>
            <c:idx val="4"/>
            <c:invertIfNegative val="0"/>
            <c:bubble3D val="0"/>
            <c:spPr>
              <a:solidFill>
                <a:schemeClr val="accent2">
                  <a:lumMod val="75000"/>
                </a:schemeClr>
              </a:solidFill>
              <a:ln>
                <a:noFill/>
              </a:ln>
              <a:effectLst/>
            </c:spPr>
            <c:extLst>
              <c:ext xmlns:c16="http://schemas.microsoft.com/office/drawing/2014/chart" uri="{C3380CC4-5D6E-409C-BE32-E72D297353CC}">
                <c16:uniqueId val="{00000009-9EAA-4120-906F-3CF8AFC057BC}"/>
              </c:ext>
            </c:extLst>
          </c:dPt>
          <c:dPt>
            <c:idx val="5"/>
            <c:invertIfNegative val="0"/>
            <c:bubble3D val="0"/>
            <c:spPr>
              <a:solidFill>
                <a:srgbClr val="FF0000"/>
              </a:solidFill>
              <a:ln>
                <a:noFill/>
              </a:ln>
              <a:effectLst/>
            </c:spPr>
            <c:extLst>
              <c:ext xmlns:c16="http://schemas.microsoft.com/office/drawing/2014/chart" uri="{C3380CC4-5D6E-409C-BE32-E72D297353CC}">
                <c16:uniqueId val="{00000009-E050-4779-A986-7F9B93473D4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tables'!$J$79:$J$85</c:f>
              <c:strCache>
                <c:ptCount val="6"/>
                <c:pt idx="0">
                  <c:v>LED TV's</c:v>
                </c:pt>
                <c:pt idx="1">
                  <c:v>Mobiles</c:v>
                </c:pt>
                <c:pt idx="2">
                  <c:v>Furniture</c:v>
                </c:pt>
                <c:pt idx="3">
                  <c:v>Speakers</c:v>
                </c:pt>
                <c:pt idx="4">
                  <c:v>4K LED TV's</c:v>
                </c:pt>
                <c:pt idx="5">
                  <c:v>Laptops</c:v>
                </c:pt>
              </c:strCache>
            </c:strRef>
          </c:cat>
          <c:val>
            <c:numRef>
              <c:f>'pivot tables'!$K$79:$K$85</c:f>
              <c:numCache>
                <c:formatCode>General</c:formatCode>
                <c:ptCount val="6"/>
                <c:pt idx="0">
                  <c:v>694</c:v>
                </c:pt>
                <c:pt idx="1">
                  <c:v>1168</c:v>
                </c:pt>
                <c:pt idx="2">
                  <c:v>1233</c:v>
                </c:pt>
                <c:pt idx="3">
                  <c:v>1457</c:v>
                </c:pt>
                <c:pt idx="4">
                  <c:v>1503</c:v>
                </c:pt>
                <c:pt idx="5">
                  <c:v>1615</c:v>
                </c:pt>
              </c:numCache>
            </c:numRef>
          </c:val>
          <c:extLst>
            <c:ext xmlns:c16="http://schemas.microsoft.com/office/drawing/2014/chart" uri="{C3380CC4-5D6E-409C-BE32-E72D297353CC}">
              <c16:uniqueId val="{00000006-EE98-4233-8228-491C95A1C1E0}"/>
            </c:ext>
          </c:extLst>
        </c:ser>
        <c:dLbls>
          <c:showLegendKey val="0"/>
          <c:showVal val="0"/>
          <c:showCatName val="0"/>
          <c:showSerName val="0"/>
          <c:showPercent val="0"/>
          <c:showBubbleSize val="0"/>
        </c:dLbls>
        <c:gapWidth val="182"/>
        <c:axId val="1280399312"/>
        <c:axId val="1280397392"/>
      </c:barChart>
      <c:catAx>
        <c:axId val="128039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80397392"/>
        <c:crosses val="autoZero"/>
        <c:auto val="1"/>
        <c:lblAlgn val="ctr"/>
        <c:lblOffset val="100"/>
        <c:noMultiLvlLbl val="0"/>
      </c:catAx>
      <c:valAx>
        <c:axId val="1280397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39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tables!PivotTable21</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4">
              <a:lumMod val="20000"/>
              <a:lumOff val="80000"/>
            </a:schemeClr>
          </a:solidFill>
          <a:ln>
            <a:noFill/>
          </a:ln>
          <a:effectLst/>
        </c:spPr>
      </c:pivotFmt>
      <c:pivotFmt>
        <c:idx val="5"/>
        <c:spPr>
          <a:solidFill>
            <a:schemeClr val="accent2"/>
          </a:solidFill>
          <a:ln>
            <a:noFill/>
          </a:ln>
          <a:effectLst/>
        </c:spPr>
      </c:pivotFmt>
    </c:pivotFmts>
    <c:plotArea>
      <c:layout>
        <c:manualLayout>
          <c:layoutTarget val="inner"/>
          <c:xMode val="edge"/>
          <c:yMode val="edge"/>
          <c:x val="0.18380256424781435"/>
          <c:y val="0.14611872146118721"/>
          <c:w val="0.67323426298331412"/>
          <c:h val="0.6884176464243339"/>
        </c:manualLayout>
      </c:layout>
      <c:barChart>
        <c:barDir val="bar"/>
        <c:grouping val="clustered"/>
        <c:varyColors val="0"/>
        <c:ser>
          <c:idx val="0"/>
          <c:order val="0"/>
          <c:tx>
            <c:strRef>
              <c:f>'pivot tables'!$C$107</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0-31CB-495F-8363-936028B2DD14}"/>
              </c:ext>
            </c:extLst>
          </c:dPt>
          <c:dPt>
            <c:idx val="1"/>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31CB-495F-8363-936028B2DD14}"/>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31CB-495F-8363-936028B2DD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tables'!$B$108:$B$111</c:f>
              <c:strCache>
                <c:ptCount val="3"/>
                <c:pt idx="0">
                  <c:v>Ganesh</c:v>
                </c:pt>
                <c:pt idx="1">
                  <c:v>Gopi</c:v>
                </c:pt>
                <c:pt idx="2">
                  <c:v>Kiran</c:v>
                </c:pt>
              </c:strCache>
            </c:strRef>
          </c:cat>
          <c:val>
            <c:numRef>
              <c:f>'pivot tables'!$C$108:$C$111</c:f>
              <c:numCache>
                <c:formatCode>General</c:formatCode>
                <c:ptCount val="3"/>
                <c:pt idx="0">
                  <c:v>1687</c:v>
                </c:pt>
                <c:pt idx="1">
                  <c:v>1534</c:v>
                </c:pt>
                <c:pt idx="2">
                  <c:v>1407</c:v>
                </c:pt>
              </c:numCache>
            </c:numRef>
          </c:val>
          <c:extLst>
            <c:ext xmlns:c16="http://schemas.microsoft.com/office/drawing/2014/chart" uri="{C3380CC4-5D6E-409C-BE32-E72D297353CC}">
              <c16:uniqueId val="{00000000-9449-4C52-96DC-B040632CC3A5}"/>
            </c:ext>
          </c:extLst>
        </c:ser>
        <c:dLbls>
          <c:dLblPos val="outEnd"/>
          <c:showLegendKey val="0"/>
          <c:showVal val="1"/>
          <c:showCatName val="0"/>
          <c:showSerName val="0"/>
          <c:showPercent val="0"/>
          <c:showBubbleSize val="0"/>
        </c:dLbls>
        <c:gapWidth val="182"/>
        <c:axId val="1280347952"/>
        <c:axId val="1280334032"/>
      </c:barChart>
      <c:catAx>
        <c:axId val="128034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80334032"/>
        <c:crosses val="autoZero"/>
        <c:auto val="1"/>
        <c:lblAlgn val="ctr"/>
        <c:lblOffset val="100"/>
        <c:noMultiLvlLbl val="0"/>
      </c:catAx>
      <c:valAx>
        <c:axId val="1280334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34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tables!PivotTable22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4">
              <a:lumMod val="20000"/>
              <a:lumOff val="8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4">
              <a:lumMod val="20000"/>
              <a:lumOff val="80000"/>
            </a:schemeClr>
          </a:solidFill>
          <a:ln>
            <a:noFill/>
          </a:ln>
          <a:effectLst/>
        </c:spPr>
      </c:pivotFmt>
      <c:pivotFmt>
        <c:idx val="8"/>
        <c:spPr>
          <a:solidFill>
            <a:schemeClr val="accent6"/>
          </a:solidFill>
          <a:ln>
            <a:noFill/>
          </a:ln>
          <a:effectLst/>
        </c:spPr>
      </c:pivotFmt>
    </c:pivotFmts>
    <c:plotArea>
      <c:layout>
        <c:manualLayout>
          <c:layoutTarget val="inner"/>
          <c:xMode val="edge"/>
          <c:yMode val="edge"/>
          <c:x val="0.12462769122833393"/>
          <c:y val="0.2820757157807785"/>
          <c:w val="0.66944794191895463"/>
          <c:h val="0.57637091015059938"/>
        </c:manualLayout>
      </c:layout>
      <c:barChart>
        <c:barDir val="bar"/>
        <c:grouping val="clustered"/>
        <c:varyColors val="0"/>
        <c:ser>
          <c:idx val="0"/>
          <c:order val="0"/>
          <c:tx>
            <c:strRef>
              <c:f>'pivot tables'!$C$118</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97AD-4B11-88FF-3D0DB8132A68}"/>
              </c:ext>
            </c:extLst>
          </c:dPt>
          <c:dPt>
            <c:idx val="1"/>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AD-4B11-88FF-3D0DB8132A68}"/>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0-97AD-4B11-88FF-3D0DB8132A68}"/>
              </c:ext>
            </c:extLst>
          </c:dPt>
          <c:cat>
            <c:strRef>
              <c:f>'pivot tables'!$B$119:$B$122</c:f>
              <c:strCache>
                <c:ptCount val="3"/>
                <c:pt idx="0">
                  <c:v>Mahesh</c:v>
                </c:pt>
                <c:pt idx="1">
                  <c:v>Ramesh</c:v>
                </c:pt>
                <c:pt idx="2">
                  <c:v>Prathap</c:v>
                </c:pt>
              </c:strCache>
            </c:strRef>
          </c:cat>
          <c:val>
            <c:numRef>
              <c:f>'pivot tables'!$C$119:$C$122</c:f>
              <c:numCache>
                <c:formatCode>General</c:formatCode>
                <c:ptCount val="3"/>
                <c:pt idx="0">
                  <c:v>810</c:v>
                </c:pt>
                <c:pt idx="1">
                  <c:v>947</c:v>
                </c:pt>
                <c:pt idx="2">
                  <c:v>1285</c:v>
                </c:pt>
              </c:numCache>
            </c:numRef>
          </c:val>
          <c:extLst>
            <c:ext xmlns:c16="http://schemas.microsoft.com/office/drawing/2014/chart" uri="{C3380CC4-5D6E-409C-BE32-E72D297353CC}">
              <c16:uniqueId val="{00000000-7D65-4138-84F7-AE2E442EA2F2}"/>
            </c:ext>
          </c:extLst>
        </c:ser>
        <c:dLbls>
          <c:showLegendKey val="0"/>
          <c:showVal val="0"/>
          <c:showCatName val="0"/>
          <c:showSerName val="0"/>
          <c:showPercent val="0"/>
          <c:showBubbleSize val="0"/>
        </c:dLbls>
        <c:gapWidth val="182"/>
        <c:axId val="1280416112"/>
        <c:axId val="1280422352"/>
      </c:barChart>
      <c:catAx>
        <c:axId val="128041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80422352"/>
        <c:crosses val="autoZero"/>
        <c:auto val="1"/>
        <c:lblAlgn val="ctr"/>
        <c:lblOffset val="100"/>
        <c:noMultiLvlLbl val="0"/>
      </c:catAx>
      <c:valAx>
        <c:axId val="1280422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41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tables!PivotTable23</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FF0000"/>
          </a:solidFill>
          <a:ln>
            <a:noFill/>
          </a:ln>
          <a:effectLst/>
        </c:spPr>
      </c:pivotFmt>
    </c:pivotFmts>
    <c:plotArea>
      <c:layout>
        <c:manualLayout>
          <c:layoutTarget val="inner"/>
          <c:xMode val="edge"/>
          <c:yMode val="edge"/>
          <c:x val="0.18448403324584428"/>
          <c:y val="0.17069225721784775"/>
          <c:w val="0.72881671041119866"/>
          <c:h val="0.72227872557596973"/>
        </c:manualLayout>
      </c:layout>
      <c:barChart>
        <c:barDir val="bar"/>
        <c:grouping val="clustered"/>
        <c:varyColors val="0"/>
        <c:ser>
          <c:idx val="0"/>
          <c:order val="0"/>
          <c:tx>
            <c:strRef>
              <c:f>'pivot tables'!$C$127</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0-7968-48D6-B6C6-F8A75DC91B47}"/>
              </c:ext>
            </c:extLst>
          </c:dPt>
          <c:dPt>
            <c:idx val="3"/>
            <c:invertIfNegative val="0"/>
            <c:bubble3D val="0"/>
            <c:spPr>
              <a:solidFill>
                <a:srgbClr val="FF0000"/>
              </a:solidFill>
              <a:ln>
                <a:noFill/>
              </a:ln>
              <a:effectLst/>
            </c:spPr>
            <c:extLst>
              <c:ext xmlns:c16="http://schemas.microsoft.com/office/drawing/2014/chart" uri="{C3380CC4-5D6E-409C-BE32-E72D297353CC}">
                <c16:uniqueId val="{00000001-7968-48D6-B6C6-F8A75DC91B4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tables'!$B$128:$B$134</c:f>
              <c:strCache>
                <c:ptCount val="6"/>
                <c:pt idx="0">
                  <c:v>Ganesh</c:v>
                </c:pt>
                <c:pt idx="1">
                  <c:v>Gopi</c:v>
                </c:pt>
                <c:pt idx="2">
                  <c:v>Kiran</c:v>
                </c:pt>
                <c:pt idx="3">
                  <c:v>Mahesh</c:v>
                </c:pt>
                <c:pt idx="4">
                  <c:v>Prathap</c:v>
                </c:pt>
                <c:pt idx="5">
                  <c:v>Ramesh</c:v>
                </c:pt>
              </c:strCache>
            </c:strRef>
          </c:cat>
          <c:val>
            <c:numRef>
              <c:f>'pivot tables'!$C$128:$C$134</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9A5B-41ED-A75C-4F7CBD3BF7B2}"/>
            </c:ext>
          </c:extLst>
        </c:ser>
        <c:dLbls>
          <c:showLegendKey val="0"/>
          <c:showVal val="0"/>
          <c:showCatName val="0"/>
          <c:showSerName val="0"/>
          <c:showPercent val="0"/>
          <c:showBubbleSize val="0"/>
        </c:dLbls>
        <c:gapWidth val="182"/>
        <c:axId val="1112315648"/>
        <c:axId val="1112319488"/>
      </c:barChart>
      <c:catAx>
        <c:axId val="111231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12319488"/>
        <c:crosses val="autoZero"/>
        <c:auto val="1"/>
        <c:lblAlgn val="ctr"/>
        <c:lblOffset val="100"/>
        <c:noMultiLvlLbl val="0"/>
      </c:catAx>
      <c:valAx>
        <c:axId val="1112319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31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6920384951881"/>
          <c:y val="0.28643299795858851"/>
          <c:w val="0.67362685914260723"/>
          <c:h val="0.53811424613589964"/>
        </c:manualLayout>
      </c:layout>
      <c:lineChart>
        <c:grouping val="standard"/>
        <c:varyColors val="0"/>
        <c:ser>
          <c:idx val="0"/>
          <c:order val="0"/>
          <c:tx>
            <c:v>Series1</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Lit>
          </c:val>
          <c:smooth val="0"/>
          <c:extLst>
            <c:ext xmlns:c16="http://schemas.microsoft.com/office/drawing/2014/chart" uri="{C3380CC4-5D6E-409C-BE32-E72D297353CC}">
              <c16:uniqueId val="{00000000-8164-4CD8-9331-2759FC3E166F}"/>
            </c:ext>
          </c:extLst>
        </c:ser>
        <c:dLbls>
          <c:showLegendKey val="0"/>
          <c:showVal val="0"/>
          <c:showCatName val="0"/>
          <c:showSerName val="0"/>
          <c:showPercent val="0"/>
          <c:showBubbleSize val="0"/>
        </c:dLbls>
        <c:smooth val="0"/>
        <c:axId val="209575488"/>
        <c:axId val="209585088"/>
      </c:lineChart>
      <c:catAx>
        <c:axId val="20957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85088"/>
        <c:crosses val="autoZero"/>
        <c:auto val="1"/>
        <c:lblAlgn val="ctr"/>
        <c:lblOffset val="100"/>
        <c:noMultiLvlLbl val="0"/>
      </c:catAx>
      <c:valAx>
        <c:axId val="20958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c:f>
              <c:strCache>
                <c:ptCount val="1"/>
                <c:pt idx="0">
                  <c:v>Total</c:v>
                </c:pt>
              </c:strCache>
            </c:strRef>
          </c:tx>
          <c:spPr>
            <a:ln w="28575" cap="rnd">
              <a:solidFill>
                <a:schemeClr val="accent1"/>
              </a:solidFill>
              <a:round/>
            </a:ln>
            <a:effectLst/>
          </c:spPr>
          <c:marker>
            <c:symbol val="none"/>
          </c:marker>
          <c:cat>
            <c:strRef>
              <c:f>'pivot tables'!$B$4:$B$16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tables'!$C$4:$C$16</c:f>
              <c:numCache>
                <c:formatCode>General</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5847-4BF2-AC71-2A5120BE5984}"/>
            </c:ext>
          </c:extLst>
        </c:ser>
        <c:dLbls>
          <c:showLegendKey val="0"/>
          <c:showVal val="0"/>
          <c:showCatName val="0"/>
          <c:showSerName val="0"/>
          <c:showPercent val="0"/>
          <c:showBubbleSize val="0"/>
        </c:dLbls>
        <c:smooth val="0"/>
        <c:axId val="2060408960"/>
        <c:axId val="2060409440"/>
      </c:lineChart>
      <c:catAx>
        <c:axId val="206040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409440"/>
        <c:crosses val="autoZero"/>
        <c:auto val="1"/>
        <c:lblAlgn val="ctr"/>
        <c:lblOffset val="100"/>
        <c:noMultiLvlLbl val="0"/>
      </c:catAx>
      <c:valAx>
        <c:axId val="206040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40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12335958005248"/>
          <c:y val="0.28643299795858851"/>
          <c:w val="0.50062182852143478"/>
          <c:h val="0.62968613298337706"/>
        </c:manualLayout>
      </c:layout>
      <c:barChart>
        <c:barDir val="bar"/>
        <c:grouping val="clustered"/>
        <c:varyColors val="0"/>
        <c:ser>
          <c:idx val="0"/>
          <c:order val="0"/>
          <c:tx>
            <c:strRef>
              <c:f>'pivot tables'!$C$20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tables'!$B$21:$B$27</c:f>
              <c:strCache>
                <c:ptCount val="6"/>
                <c:pt idx="0">
                  <c:v>4K LED TV's</c:v>
                </c:pt>
                <c:pt idx="1">
                  <c:v>Furniture</c:v>
                </c:pt>
                <c:pt idx="2">
                  <c:v>Laptops</c:v>
                </c:pt>
                <c:pt idx="3">
                  <c:v>LED TV's</c:v>
                </c:pt>
                <c:pt idx="4">
                  <c:v>Mobiles</c:v>
                </c:pt>
                <c:pt idx="5">
                  <c:v>Speakers</c:v>
                </c:pt>
              </c:strCache>
            </c:strRef>
          </c:cat>
          <c:val>
            <c:numRef>
              <c:f>'pivot tables'!$C$21:$C$27</c:f>
              <c:numCache>
                <c:formatCode>General</c:formatCode>
                <c:ptCount val="6"/>
                <c:pt idx="0">
                  <c:v>46830474</c:v>
                </c:pt>
                <c:pt idx="1">
                  <c:v>5263843</c:v>
                </c:pt>
                <c:pt idx="2">
                  <c:v>48711017</c:v>
                </c:pt>
                <c:pt idx="3">
                  <c:v>3523539</c:v>
                </c:pt>
                <c:pt idx="4">
                  <c:v>10414063</c:v>
                </c:pt>
                <c:pt idx="5">
                  <c:v>3988957</c:v>
                </c:pt>
              </c:numCache>
            </c:numRef>
          </c:val>
          <c:extLst>
            <c:ext xmlns:c16="http://schemas.microsoft.com/office/drawing/2014/chart" uri="{C3380CC4-5D6E-409C-BE32-E72D297353CC}">
              <c16:uniqueId val="{00000000-A885-488B-A436-736528F807A6}"/>
            </c:ext>
          </c:extLst>
        </c:ser>
        <c:dLbls>
          <c:showLegendKey val="0"/>
          <c:showVal val="0"/>
          <c:showCatName val="0"/>
          <c:showSerName val="0"/>
          <c:showPercent val="0"/>
          <c:showBubbleSize val="0"/>
        </c:dLbls>
        <c:gapWidth val="182"/>
        <c:axId val="1743085008"/>
        <c:axId val="1743085488"/>
      </c:barChart>
      <c:catAx>
        <c:axId val="174308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85488"/>
        <c:crosses val="autoZero"/>
        <c:auto val="1"/>
        <c:lblAlgn val="ctr"/>
        <c:lblOffset val="100"/>
        <c:noMultiLvlLbl val="0"/>
      </c:catAx>
      <c:valAx>
        <c:axId val="1743085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8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tables!PivotTable9</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tables'!$C$48</c:f>
              <c:strCache>
                <c:ptCount val="1"/>
                <c:pt idx="0">
                  <c:v>Total</c:v>
                </c:pt>
              </c:strCache>
            </c:strRef>
          </c:tx>
          <c:spPr>
            <a:solidFill>
              <a:schemeClr val="accent1"/>
            </a:solidFill>
            <a:ln>
              <a:noFill/>
            </a:ln>
            <a:effectLst/>
          </c:spPr>
          <c:invertIfNegative val="0"/>
          <c:cat>
            <c:strRef>
              <c:f>'pivot tables'!$B$49:$B$55</c:f>
              <c:strCache>
                <c:ptCount val="6"/>
                <c:pt idx="0">
                  <c:v>Bapatla</c:v>
                </c:pt>
                <c:pt idx="1">
                  <c:v>Chirala</c:v>
                </c:pt>
                <c:pt idx="2">
                  <c:v>Guntur</c:v>
                </c:pt>
                <c:pt idx="3">
                  <c:v>Ongole</c:v>
                </c:pt>
                <c:pt idx="4">
                  <c:v>Tenali</c:v>
                </c:pt>
                <c:pt idx="5">
                  <c:v>Vijayawada</c:v>
                </c:pt>
              </c:strCache>
            </c:strRef>
          </c:cat>
          <c:val>
            <c:numRef>
              <c:f>'pivot tables'!$C$49:$C$55</c:f>
              <c:numCache>
                <c:formatCode>General</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822A-4591-948E-7E231BB649E6}"/>
            </c:ext>
          </c:extLst>
        </c:ser>
        <c:dLbls>
          <c:showLegendKey val="0"/>
          <c:showVal val="0"/>
          <c:showCatName val="0"/>
          <c:showSerName val="0"/>
          <c:showPercent val="0"/>
          <c:showBubbleSize val="0"/>
        </c:dLbls>
        <c:gapWidth val="219"/>
        <c:overlap val="-27"/>
        <c:axId val="415934304"/>
        <c:axId val="415929504"/>
      </c:barChart>
      <c:catAx>
        <c:axId val="41593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929504"/>
        <c:crosses val="autoZero"/>
        <c:auto val="1"/>
        <c:lblAlgn val="ctr"/>
        <c:lblOffset val="100"/>
        <c:noMultiLvlLbl val="0"/>
      </c:catAx>
      <c:valAx>
        <c:axId val="41592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93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tables!PivotTable14</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tables'!$C$69</c:f>
              <c:strCache>
                <c:ptCount val="1"/>
                <c:pt idx="0">
                  <c:v>Total</c:v>
                </c:pt>
              </c:strCache>
            </c:strRef>
          </c:tx>
          <c:spPr>
            <a:solidFill>
              <a:schemeClr val="accent1"/>
            </a:solidFill>
            <a:ln>
              <a:noFill/>
            </a:ln>
            <a:effectLst/>
          </c:spPr>
          <c:invertIfNegative val="0"/>
          <c:cat>
            <c:strRef>
              <c:f>'pivot tables'!$B$70:$B$76</c:f>
              <c:strCache>
                <c:ptCount val="6"/>
                <c:pt idx="0">
                  <c:v>4K LED TV's</c:v>
                </c:pt>
                <c:pt idx="1">
                  <c:v>Furniture</c:v>
                </c:pt>
                <c:pt idx="2">
                  <c:v>Laptops</c:v>
                </c:pt>
                <c:pt idx="3">
                  <c:v>LED TV's</c:v>
                </c:pt>
                <c:pt idx="4">
                  <c:v>Mobiles</c:v>
                </c:pt>
                <c:pt idx="5">
                  <c:v>Speakers</c:v>
                </c:pt>
              </c:strCache>
            </c:strRef>
          </c:cat>
          <c:val>
            <c:numRef>
              <c:f>'pivot tables'!$C$70:$C$76</c:f>
              <c:numCache>
                <c:formatCode>General</c:formatCode>
                <c:ptCount val="6"/>
              </c:numCache>
            </c:numRef>
          </c:val>
          <c:extLst>
            <c:ext xmlns:c16="http://schemas.microsoft.com/office/drawing/2014/chart" uri="{C3380CC4-5D6E-409C-BE32-E72D297353CC}">
              <c16:uniqueId val="{00000000-73F0-4638-B93A-8FEF43956115}"/>
            </c:ext>
          </c:extLst>
        </c:ser>
        <c:dLbls>
          <c:showLegendKey val="0"/>
          <c:showVal val="0"/>
          <c:showCatName val="0"/>
          <c:showSerName val="0"/>
          <c:showPercent val="0"/>
          <c:showBubbleSize val="0"/>
        </c:dLbls>
        <c:gapWidth val="182"/>
        <c:axId val="415933824"/>
        <c:axId val="415925664"/>
      </c:barChart>
      <c:catAx>
        <c:axId val="41593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925664"/>
        <c:crosses val="autoZero"/>
        <c:auto val="1"/>
        <c:lblAlgn val="ctr"/>
        <c:lblOffset val="100"/>
        <c:noMultiLvlLbl val="0"/>
      </c:catAx>
      <c:valAx>
        <c:axId val="415925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93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tables!PivotTable15</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tables'!$C$76</c:f>
              <c:strCache>
                <c:ptCount val="1"/>
                <c:pt idx="0">
                  <c:v>Total</c:v>
                </c:pt>
              </c:strCache>
            </c:strRef>
          </c:tx>
          <c:spPr>
            <a:solidFill>
              <a:schemeClr val="accent1"/>
            </a:solidFill>
            <a:ln>
              <a:noFill/>
            </a:ln>
            <a:effectLst/>
          </c:spPr>
          <c:invertIfNegative val="0"/>
          <c:cat>
            <c:strRef>
              <c:f>'pivot tables'!$B$77:$B$83</c:f>
              <c:strCache>
                <c:ptCount val="6"/>
                <c:pt idx="0">
                  <c:v>Laptops</c:v>
                </c:pt>
                <c:pt idx="1">
                  <c:v>4K LED TV's</c:v>
                </c:pt>
                <c:pt idx="2">
                  <c:v>Speakers</c:v>
                </c:pt>
                <c:pt idx="3">
                  <c:v>Furniture</c:v>
                </c:pt>
                <c:pt idx="4">
                  <c:v>Mobiles</c:v>
                </c:pt>
                <c:pt idx="5">
                  <c:v>LED TV's</c:v>
                </c:pt>
              </c:strCache>
            </c:strRef>
          </c:cat>
          <c:val>
            <c:numRef>
              <c:f>'pivot tables'!$C$77:$C$83</c:f>
              <c:numCache>
                <c:formatCode>General</c:formatCode>
                <c:ptCount val="6"/>
                <c:pt idx="0">
                  <c:v>1615</c:v>
                </c:pt>
                <c:pt idx="1">
                  <c:v>1503</c:v>
                </c:pt>
                <c:pt idx="2">
                  <c:v>1457</c:v>
                </c:pt>
                <c:pt idx="3">
                  <c:v>1233</c:v>
                </c:pt>
                <c:pt idx="4">
                  <c:v>1168</c:v>
                </c:pt>
                <c:pt idx="5">
                  <c:v>694</c:v>
                </c:pt>
              </c:numCache>
            </c:numRef>
          </c:val>
          <c:extLst>
            <c:ext xmlns:c16="http://schemas.microsoft.com/office/drawing/2014/chart" uri="{C3380CC4-5D6E-409C-BE32-E72D297353CC}">
              <c16:uniqueId val="{00000000-CACF-42F1-913A-9EA0C451DE29}"/>
            </c:ext>
          </c:extLst>
        </c:ser>
        <c:dLbls>
          <c:showLegendKey val="0"/>
          <c:showVal val="0"/>
          <c:showCatName val="0"/>
          <c:showSerName val="0"/>
          <c:showPercent val="0"/>
          <c:showBubbleSize val="0"/>
        </c:dLbls>
        <c:gapWidth val="182"/>
        <c:axId val="629619536"/>
        <c:axId val="629618096"/>
      </c:barChart>
      <c:catAx>
        <c:axId val="62961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18096"/>
        <c:crosses val="autoZero"/>
        <c:auto val="1"/>
        <c:lblAlgn val="ctr"/>
        <c:lblOffset val="100"/>
        <c:noMultiLvlLbl val="0"/>
      </c:catAx>
      <c:valAx>
        <c:axId val="629618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1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tables!PivotTable18</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tables'!$F$94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tables'!$E$95:$E$101</c:f>
              <c:strCache>
                <c:ptCount val="6"/>
                <c:pt idx="0">
                  <c:v>4K LED TV's</c:v>
                </c:pt>
                <c:pt idx="1">
                  <c:v>Furniture</c:v>
                </c:pt>
                <c:pt idx="2">
                  <c:v>Laptops</c:v>
                </c:pt>
                <c:pt idx="3">
                  <c:v>LED TV's</c:v>
                </c:pt>
                <c:pt idx="4">
                  <c:v>Mobiles</c:v>
                </c:pt>
                <c:pt idx="5">
                  <c:v>Speakers</c:v>
                </c:pt>
              </c:strCache>
            </c:strRef>
          </c:cat>
          <c:val>
            <c:numRef>
              <c:f>'pivot tables'!$F$95:$F$101</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60D6-4668-A74D-2300A23450BA}"/>
            </c:ext>
          </c:extLst>
        </c:ser>
        <c:dLbls>
          <c:showLegendKey val="0"/>
          <c:showVal val="0"/>
          <c:showCatName val="0"/>
          <c:showSerName val="0"/>
          <c:showPercent val="0"/>
          <c:showBubbleSize val="0"/>
        </c:dLbls>
        <c:gapWidth val="219"/>
        <c:overlap val="-27"/>
        <c:axId val="1148217936"/>
        <c:axId val="1148218896"/>
      </c:barChart>
      <c:catAx>
        <c:axId val="114821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218896"/>
        <c:crosses val="autoZero"/>
        <c:auto val="1"/>
        <c:lblAlgn val="ctr"/>
        <c:lblOffset val="100"/>
        <c:noMultiLvlLbl val="0"/>
      </c:catAx>
      <c:valAx>
        <c:axId val="1148218896"/>
        <c:scaling>
          <c:orientation val="minMax"/>
        </c:scaling>
        <c:delete val="1"/>
        <c:axPos val="l"/>
        <c:numFmt formatCode="General" sourceLinked="1"/>
        <c:majorTickMark val="none"/>
        <c:minorTickMark val="none"/>
        <c:tickLblPos val="nextTo"/>
        <c:crossAx val="114821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tables!PivotTable19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tables'!$J$68:$J$74</c:f>
              <c:strCache>
                <c:ptCount val="6"/>
                <c:pt idx="0">
                  <c:v>Laptops</c:v>
                </c:pt>
                <c:pt idx="1">
                  <c:v>4K LED TV's</c:v>
                </c:pt>
                <c:pt idx="2">
                  <c:v>Speakers</c:v>
                </c:pt>
                <c:pt idx="3">
                  <c:v>Furniture</c:v>
                </c:pt>
                <c:pt idx="4">
                  <c:v>Mobiles</c:v>
                </c:pt>
                <c:pt idx="5">
                  <c:v>LED TV's</c:v>
                </c:pt>
              </c:strCache>
            </c:strRef>
          </c:cat>
          <c:val>
            <c:numRef>
              <c:f>'pivot tables'!$K$68:$K$74</c:f>
              <c:numCache>
                <c:formatCode>General</c:formatCode>
                <c:ptCount val="6"/>
                <c:pt idx="0">
                  <c:v>1615</c:v>
                </c:pt>
                <c:pt idx="1">
                  <c:v>1503</c:v>
                </c:pt>
                <c:pt idx="2">
                  <c:v>1457</c:v>
                </c:pt>
                <c:pt idx="3">
                  <c:v>1233</c:v>
                </c:pt>
                <c:pt idx="4">
                  <c:v>1168</c:v>
                </c:pt>
                <c:pt idx="5">
                  <c:v>694</c:v>
                </c:pt>
              </c:numCache>
            </c:numRef>
          </c:val>
          <c:extLst>
            <c:ext xmlns:c16="http://schemas.microsoft.com/office/drawing/2014/chart" uri="{C3380CC4-5D6E-409C-BE32-E72D297353CC}">
              <c16:uniqueId val="{00000000-0650-4BC2-A7BE-D39A1D2190DE}"/>
            </c:ext>
          </c:extLst>
        </c:ser>
        <c:dLbls>
          <c:showLegendKey val="0"/>
          <c:showVal val="0"/>
          <c:showCatName val="0"/>
          <c:showSerName val="0"/>
          <c:showPercent val="0"/>
          <c:showBubbleSize val="0"/>
        </c:dLbls>
        <c:gapWidth val="182"/>
        <c:axId val="1148192496"/>
        <c:axId val="1148188656"/>
      </c:barChart>
      <c:catAx>
        <c:axId val="114819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188656"/>
        <c:crosses val="autoZero"/>
        <c:auto val="1"/>
        <c:lblAlgn val="ctr"/>
        <c:lblOffset val="100"/>
        <c:noMultiLvlLbl val="0"/>
      </c:catAx>
      <c:valAx>
        <c:axId val="1148188656"/>
        <c:scaling>
          <c:orientation val="minMax"/>
        </c:scaling>
        <c:delete val="1"/>
        <c:axPos val="b"/>
        <c:numFmt formatCode="General" sourceLinked="1"/>
        <c:majorTickMark val="none"/>
        <c:minorTickMark val="none"/>
        <c:tickLblPos val="nextTo"/>
        <c:crossAx val="1148192496"/>
        <c:crosses val="autoZero"/>
        <c:crossBetween val="between"/>
      </c:valAx>
      <c:spPr>
        <a:noFill/>
        <a:ln>
          <a:noFill/>
        </a:ln>
        <a:effectLst/>
      </c:spPr>
    </c:plotArea>
    <c:legend>
      <c:legendPos val="r"/>
      <c:layout>
        <c:manualLayout>
          <c:xMode val="edge"/>
          <c:yMode val="edge"/>
          <c:x val="0.90252296587926495"/>
          <c:y val="0.49130650335374743"/>
          <c:w val="9.7477002267920387E-2"/>
          <c:h val="0.138462552299633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tables!PivotTable20</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49216001969918"/>
          <c:y val="0.28643299795858851"/>
          <c:w val="0.59849786018353079"/>
          <c:h val="0.62968613298337706"/>
        </c:manualLayout>
      </c:layout>
      <c:barChart>
        <c:barDir val="bar"/>
        <c:grouping val="clustered"/>
        <c:varyColors val="0"/>
        <c:ser>
          <c:idx val="0"/>
          <c:order val="0"/>
          <c:tx>
            <c:strRef>
              <c:f>'pivot tables'!$K$78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tables'!$J$79:$J$85</c:f>
              <c:strCache>
                <c:ptCount val="6"/>
                <c:pt idx="0">
                  <c:v>LED TV's</c:v>
                </c:pt>
                <c:pt idx="1">
                  <c:v>Mobiles</c:v>
                </c:pt>
                <c:pt idx="2">
                  <c:v>Furniture</c:v>
                </c:pt>
                <c:pt idx="3">
                  <c:v>Speakers</c:v>
                </c:pt>
                <c:pt idx="4">
                  <c:v>4K LED TV's</c:v>
                </c:pt>
                <c:pt idx="5">
                  <c:v>Laptops</c:v>
                </c:pt>
              </c:strCache>
            </c:strRef>
          </c:cat>
          <c:val>
            <c:numRef>
              <c:f>'pivot tables'!$K$79:$K$85</c:f>
              <c:numCache>
                <c:formatCode>General</c:formatCode>
                <c:ptCount val="6"/>
                <c:pt idx="0">
                  <c:v>694</c:v>
                </c:pt>
                <c:pt idx="1">
                  <c:v>1168</c:v>
                </c:pt>
                <c:pt idx="2">
                  <c:v>1233</c:v>
                </c:pt>
                <c:pt idx="3">
                  <c:v>1457</c:v>
                </c:pt>
                <c:pt idx="4">
                  <c:v>1503</c:v>
                </c:pt>
                <c:pt idx="5">
                  <c:v>1615</c:v>
                </c:pt>
              </c:numCache>
            </c:numRef>
          </c:val>
          <c:extLst>
            <c:ext xmlns:c16="http://schemas.microsoft.com/office/drawing/2014/chart" uri="{C3380CC4-5D6E-409C-BE32-E72D297353CC}">
              <c16:uniqueId val="{00000000-E28A-497F-968E-F1B1CCA937E3}"/>
            </c:ext>
          </c:extLst>
        </c:ser>
        <c:dLbls>
          <c:showLegendKey val="0"/>
          <c:showVal val="0"/>
          <c:showCatName val="0"/>
          <c:showSerName val="0"/>
          <c:showPercent val="0"/>
          <c:showBubbleSize val="0"/>
        </c:dLbls>
        <c:gapWidth val="182"/>
        <c:axId val="1280399312"/>
        <c:axId val="1280397392"/>
      </c:barChart>
      <c:catAx>
        <c:axId val="128039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397392"/>
        <c:crosses val="autoZero"/>
        <c:auto val="1"/>
        <c:lblAlgn val="ctr"/>
        <c:lblOffset val="100"/>
        <c:noMultiLvlLbl val="0"/>
      </c:catAx>
      <c:valAx>
        <c:axId val="1280397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39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tables!PivotTable21</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tables'!$C$107</c:f>
              <c:strCache>
                <c:ptCount val="1"/>
                <c:pt idx="0">
                  <c:v>Total</c:v>
                </c:pt>
              </c:strCache>
            </c:strRef>
          </c:tx>
          <c:spPr>
            <a:solidFill>
              <a:schemeClr val="accent1"/>
            </a:solidFill>
            <a:ln>
              <a:noFill/>
            </a:ln>
            <a:effectLst/>
          </c:spPr>
          <c:invertIfNegative val="0"/>
          <c:cat>
            <c:strRef>
              <c:f>'pivot tables'!$B$108:$B$111</c:f>
              <c:strCache>
                <c:ptCount val="3"/>
                <c:pt idx="0">
                  <c:v>Ganesh</c:v>
                </c:pt>
                <c:pt idx="1">
                  <c:v>Gopi</c:v>
                </c:pt>
                <c:pt idx="2">
                  <c:v>Kiran</c:v>
                </c:pt>
              </c:strCache>
            </c:strRef>
          </c:cat>
          <c:val>
            <c:numRef>
              <c:f>'pivot tables'!$C$108:$C$111</c:f>
              <c:numCache>
                <c:formatCode>General</c:formatCode>
                <c:ptCount val="3"/>
                <c:pt idx="0">
                  <c:v>1687</c:v>
                </c:pt>
                <c:pt idx="1">
                  <c:v>1534</c:v>
                </c:pt>
                <c:pt idx="2">
                  <c:v>1407</c:v>
                </c:pt>
              </c:numCache>
            </c:numRef>
          </c:val>
          <c:extLst>
            <c:ext xmlns:c16="http://schemas.microsoft.com/office/drawing/2014/chart" uri="{C3380CC4-5D6E-409C-BE32-E72D297353CC}">
              <c16:uniqueId val="{00000000-7637-44F6-BCD4-0FD4C731B876}"/>
            </c:ext>
          </c:extLst>
        </c:ser>
        <c:dLbls>
          <c:showLegendKey val="0"/>
          <c:showVal val="0"/>
          <c:showCatName val="0"/>
          <c:showSerName val="0"/>
          <c:showPercent val="0"/>
          <c:showBubbleSize val="0"/>
        </c:dLbls>
        <c:gapWidth val="182"/>
        <c:axId val="1280347952"/>
        <c:axId val="1280334032"/>
      </c:barChart>
      <c:catAx>
        <c:axId val="128034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334032"/>
        <c:crosses val="autoZero"/>
        <c:auto val="1"/>
        <c:lblAlgn val="ctr"/>
        <c:lblOffset val="100"/>
        <c:noMultiLvlLbl val="0"/>
      </c:catAx>
      <c:valAx>
        <c:axId val="1280334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34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tables!PivotTable22</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tables'!$C$118</c:f>
              <c:strCache>
                <c:ptCount val="1"/>
                <c:pt idx="0">
                  <c:v>Total</c:v>
                </c:pt>
              </c:strCache>
            </c:strRef>
          </c:tx>
          <c:spPr>
            <a:solidFill>
              <a:schemeClr val="accent1"/>
            </a:solidFill>
            <a:ln>
              <a:noFill/>
            </a:ln>
            <a:effectLst/>
          </c:spPr>
          <c:invertIfNegative val="0"/>
          <c:cat>
            <c:strRef>
              <c:f>'pivot tables'!$B$119:$B$122</c:f>
              <c:strCache>
                <c:ptCount val="3"/>
                <c:pt idx="0">
                  <c:v>Mahesh</c:v>
                </c:pt>
                <c:pt idx="1">
                  <c:v>Ramesh</c:v>
                </c:pt>
                <c:pt idx="2">
                  <c:v>Prathap</c:v>
                </c:pt>
              </c:strCache>
            </c:strRef>
          </c:cat>
          <c:val>
            <c:numRef>
              <c:f>'pivot tables'!$C$119:$C$122</c:f>
              <c:numCache>
                <c:formatCode>General</c:formatCode>
                <c:ptCount val="3"/>
                <c:pt idx="0">
                  <c:v>810</c:v>
                </c:pt>
                <c:pt idx="1">
                  <c:v>947</c:v>
                </c:pt>
                <c:pt idx="2">
                  <c:v>1285</c:v>
                </c:pt>
              </c:numCache>
            </c:numRef>
          </c:val>
          <c:extLst>
            <c:ext xmlns:c16="http://schemas.microsoft.com/office/drawing/2014/chart" uri="{C3380CC4-5D6E-409C-BE32-E72D297353CC}">
              <c16:uniqueId val="{00000000-2EF4-4884-A1A7-87EBCCD31676}"/>
            </c:ext>
          </c:extLst>
        </c:ser>
        <c:dLbls>
          <c:showLegendKey val="0"/>
          <c:showVal val="0"/>
          <c:showCatName val="0"/>
          <c:showSerName val="0"/>
          <c:showPercent val="0"/>
          <c:showBubbleSize val="0"/>
        </c:dLbls>
        <c:gapWidth val="182"/>
        <c:axId val="1280416112"/>
        <c:axId val="1280422352"/>
      </c:barChart>
      <c:catAx>
        <c:axId val="128041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422352"/>
        <c:crosses val="autoZero"/>
        <c:auto val="1"/>
        <c:lblAlgn val="ctr"/>
        <c:lblOffset val="100"/>
        <c:noMultiLvlLbl val="0"/>
      </c:catAx>
      <c:valAx>
        <c:axId val="1280422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41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tables!PivotTable23</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48403324584428"/>
          <c:y val="0.17069225721784775"/>
          <c:w val="0.72881671041119866"/>
          <c:h val="0.72227872557596973"/>
        </c:manualLayout>
      </c:layout>
      <c:barChart>
        <c:barDir val="bar"/>
        <c:grouping val="clustered"/>
        <c:varyColors val="0"/>
        <c:ser>
          <c:idx val="0"/>
          <c:order val="0"/>
          <c:tx>
            <c:strRef>
              <c:f>'pivot tables'!$C$127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tables'!$B$128:$B$134</c:f>
              <c:strCache>
                <c:ptCount val="6"/>
                <c:pt idx="0">
                  <c:v>Ganesh</c:v>
                </c:pt>
                <c:pt idx="1">
                  <c:v>Gopi</c:v>
                </c:pt>
                <c:pt idx="2">
                  <c:v>Kiran</c:v>
                </c:pt>
                <c:pt idx="3">
                  <c:v>Mahesh</c:v>
                </c:pt>
                <c:pt idx="4">
                  <c:v>Prathap</c:v>
                </c:pt>
                <c:pt idx="5">
                  <c:v>Ramesh</c:v>
                </c:pt>
              </c:strCache>
            </c:strRef>
          </c:cat>
          <c:val>
            <c:numRef>
              <c:f>'pivot tables'!$C$128:$C$134</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C104-4F01-890B-5C7A0D95C33A}"/>
            </c:ext>
          </c:extLst>
        </c:ser>
        <c:dLbls>
          <c:showLegendKey val="0"/>
          <c:showVal val="0"/>
          <c:showCatName val="0"/>
          <c:showSerName val="0"/>
          <c:showPercent val="0"/>
          <c:showBubbleSize val="0"/>
        </c:dLbls>
        <c:gapWidth val="182"/>
        <c:axId val="1112315648"/>
        <c:axId val="1112319488"/>
      </c:barChart>
      <c:catAx>
        <c:axId val="111231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319488"/>
        <c:crosses val="autoZero"/>
        <c:auto val="1"/>
        <c:lblAlgn val="ctr"/>
        <c:lblOffset val="100"/>
        <c:noMultiLvlLbl val="0"/>
      </c:catAx>
      <c:valAx>
        <c:axId val="1112319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31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tables!PivotTable2</c:name>
    <c:fmtId val="17"/>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702222907661594E-2"/>
          <c:y val="0.21765658240088409"/>
          <c:w val="0.95615509501440121"/>
          <c:h val="0.59843680066307503"/>
        </c:manualLayout>
      </c:layout>
      <c:pie3DChart>
        <c:varyColors val="1"/>
        <c:ser>
          <c:idx val="0"/>
          <c:order val="0"/>
          <c:tx>
            <c:strRef>
              <c:f>'pivot tables'!$C$151</c:f>
              <c:strCache>
                <c:ptCount val="1"/>
                <c:pt idx="0">
                  <c:v>Count of Date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483-4BEE-83AE-981A2B27367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483-4BEE-83AE-981A2B27367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483-4BEE-83AE-981A2B27367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483-4BEE-83AE-981A2B27367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483-4BEE-83AE-981A2B27367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483-4BEE-83AE-981A2B2736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tables'!$B$152:$B$158</c:f>
              <c:strCache>
                <c:ptCount val="6"/>
                <c:pt idx="0">
                  <c:v>Bapatla</c:v>
                </c:pt>
                <c:pt idx="1">
                  <c:v>Chirala</c:v>
                </c:pt>
                <c:pt idx="2">
                  <c:v>Guntur</c:v>
                </c:pt>
                <c:pt idx="3">
                  <c:v>Ongole</c:v>
                </c:pt>
                <c:pt idx="4">
                  <c:v>Tenali</c:v>
                </c:pt>
                <c:pt idx="5">
                  <c:v>Vijayawada</c:v>
                </c:pt>
              </c:strCache>
            </c:strRef>
          </c:cat>
          <c:val>
            <c:numRef>
              <c:f>'pivot tables'!$C$152:$C$158</c:f>
              <c:numCache>
                <c:formatCode>_ * #,##0_ ;_ * \-#,##0_ ;_ * "-"??_ ;_ @_ </c:formatCode>
                <c:ptCount val="6"/>
                <c:pt idx="0">
                  <c:v>56</c:v>
                </c:pt>
                <c:pt idx="1">
                  <c:v>44</c:v>
                </c:pt>
                <c:pt idx="2">
                  <c:v>50</c:v>
                </c:pt>
                <c:pt idx="3">
                  <c:v>16</c:v>
                </c:pt>
                <c:pt idx="4">
                  <c:v>70</c:v>
                </c:pt>
                <c:pt idx="5">
                  <c:v>42</c:v>
                </c:pt>
              </c:numCache>
            </c:numRef>
          </c:val>
          <c:extLst>
            <c:ext xmlns:c16="http://schemas.microsoft.com/office/drawing/2014/chart" uri="{C3380CC4-5D6E-409C-BE32-E72D297353CC}">
              <c16:uniqueId val="{00000000-44C7-4DBC-9268-4D2895EC891B}"/>
            </c:ext>
          </c:extLst>
        </c:ser>
        <c:ser>
          <c:idx val="1"/>
          <c:order val="1"/>
          <c:tx>
            <c:strRef>
              <c:f>'pivot tables'!$D$151</c:f>
              <c:strCache>
                <c:ptCount val="1"/>
                <c:pt idx="0">
                  <c:v>Sum of Units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C483-4BEE-83AE-981A2B27367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C483-4BEE-83AE-981A2B27367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C483-4BEE-83AE-981A2B27367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C483-4BEE-83AE-981A2B27367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C483-4BEE-83AE-981A2B27367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C483-4BEE-83AE-981A2B2736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tables'!$B$152:$B$158</c:f>
              <c:strCache>
                <c:ptCount val="6"/>
                <c:pt idx="0">
                  <c:v>Bapatla</c:v>
                </c:pt>
                <c:pt idx="1">
                  <c:v>Chirala</c:v>
                </c:pt>
                <c:pt idx="2">
                  <c:v>Guntur</c:v>
                </c:pt>
                <c:pt idx="3">
                  <c:v>Ongole</c:v>
                </c:pt>
                <c:pt idx="4">
                  <c:v>Tenali</c:v>
                </c:pt>
                <c:pt idx="5">
                  <c:v>Vijayawada</c:v>
                </c:pt>
              </c:strCache>
            </c:strRef>
          </c:cat>
          <c:val>
            <c:numRef>
              <c:f>'pivot tables'!$D$152:$D$158</c:f>
              <c:numCache>
                <c:formatCode>_ * #,##0_ ;_ * \-#,##0_ ;_ * "-"??_ ;_ @_ </c:formatCode>
                <c:ptCount val="6"/>
                <c:pt idx="0">
                  <c:v>1512</c:v>
                </c:pt>
                <c:pt idx="1">
                  <c:v>1022</c:v>
                </c:pt>
                <c:pt idx="2">
                  <c:v>1402</c:v>
                </c:pt>
                <c:pt idx="3">
                  <c:v>531</c:v>
                </c:pt>
                <c:pt idx="4">
                  <c:v>1982</c:v>
                </c:pt>
                <c:pt idx="5">
                  <c:v>1221</c:v>
                </c:pt>
              </c:numCache>
            </c:numRef>
          </c:val>
          <c:extLst>
            <c:ext xmlns:c16="http://schemas.microsoft.com/office/drawing/2014/chart" uri="{C3380CC4-5D6E-409C-BE32-E72D297353CC}">
              <c16:uniqueId val="{00000001-44C7-4DBC-9268-4D2895EC891B}"/>
            </c:ext>
          </c:extLst>
        </c:ser>
        <c:ser>
          <c:idx val="2"/>
          <c:order val="2"/>
          <c:tx>
            <c:strRef>
              <c:f>'pivot tables'!$E$151</c:f>
              <c:strCache>
                <c:ptCount val="1"/>
                <c:pt idx="0">
                  <c:v>Sum of 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9-C483-4BEE-83AE-981A2B27367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B-C483-4BEE-83AE-981A2B27367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D-C483-4BEE-83AE-981A2B27367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F-C483-4BEE-83AE-981A2B27367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1-C483-4BEE-83AE-981A2B27367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3-C483-4BEE-83AE-981A2B2736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tables'!$B$152:$B$158</c:f>
              <c:strCache>
                <c:ptCount val="6"/>
                <c:pt idx="0">
                  <c:v>Bapatla</c:v>
                </c:pt>
                <c:pt idx="1">
                  <c:v>Chirala</c:v>
                </c:pt>
                <c:pt idx="2">
                  <c:v>Guntur</c:v>
                </c:pt>
                <c:pt idx="3">
                  <c:v>Ongole</c:v>
                </c:pt>
                <c:pt idx="4">
                  <c:v>Tenali</c:v>
                </c:pt>
                <c:pt idx="5">
                  <c:v>Vijayawada</c:v>
                </c:pt>
              </c:strCache>
            </c:strRef>
          </c:cat>
          <c:val>
            <c:numRef>
              <c:f>'pivot tables'!$E$152:$E$158</c:f>
              <c:numCache>
                <c:formatCode>_ * #,##0_ ;_ * \-#,##0_ ;_ * "-"??_ ;_ @_ </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2-44C7-4DBC-9268-4D2895EC891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tables!PivotTable4</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01224846894146"/>
          <c:y val="0.27717373869932921"/>
          <c:w val="0.51802471566054242"/>
          <c:h val="0.62968613298337706"/>
        </c:manualLayout>
      </c:layout>
      <c:barChart>
        <c:barDir val="bar"/>
        <c:grouping val="clustered"/>
        <c:varyColors val="0"/>
        <c:ser>
          <c:idx val="0"/>
          <c:order val="0"/>
          <c:tx>
            <c:strRef>
              <c:f>'pivot tables'!$C$162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tables'!$B$163:$B$169</c:f>
              <c:strCache>
                <c:ptCount val="6"/>
                <c:pt idx="0">
                  <c:v>4K LED TV's</c:v>
                </c:pt>
                <c:pt idx="1">
                  <c:v>Furniture</c:v>
                </c:pt>
                <c:pt idx="2">
                  <c:v>Laptops</c:v>
                </c:pt>
                <c:pt idx="3">
                  <c:v>LED TV's</c:v>
                </c:pt>
                <c:pt idx="4">
                  <c:v>Mobiles</c:v>
                </c:pt>
                <c:pt idx="5">
                  <c:v>Speakers</c:v>
                </c:pt>
              </c:strCache>
            </c:strRef>
          </c:cat>
          <c:val>
            <c:numRef>
              <c:f>'pivot tables'!$C$163:$C$169</c:f>
              <c:numCache>
                <c:formatCode>_ * #,##0_ ;_ * \-#,##0_ ;_ * "-"??_ ;_ @_ </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7DDA-4CDF-97AD-4A3830732A09}"/>
            </c:ext>
          </c:extLst>
        </c:ser>
        <c:dLbls>
          <c:dLblPos val="outEnd"/>
          <c:showLegendKey val="0"/>
          <c:showVal val="1"/>
          <c:showCatName val="0"/>
          <c:showSerName val="0"/>
          <c:showPercent val="0"/>
          <c:showBubbleSize val="0"/>
        </c:dLbls>
        <c:gapWidth val="182"/>
        <c:axId val="1489356976"/>
        <c:axId val="1489340656"/>
      </c:barChart>
      <c:catAx>
        <c:axId val="1489356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340656"/>
        <c:crosses val="autoZero"/>
        <c:auto val="1"/>
        <c:lblAlgn val="ctr"/>
        <c:lblOffset val="100"/>
        <c:noMultiLvlLbl val="0"/>
      </c:catAx>
      <c:valAx>
        <c:axId val="1489340656"/>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35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tables!PivotTable2</c:name>
    <c:fmtId val="4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tables'!$C$151</c:f>
              <c:strCache>
                <c:ptCount val="1"/>
                <c:pt idx="0">
                  <c:v>Count of Date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tables'!$B$152:$B$158</c:f>
              <c:strCache>
                <c:ptCount val="6"/>
                <c:pt idx="0">
                  <c:v>Bapatla</c:v>
                </c:pt>
                <c:pt idx="1">
                  <c:v>Chirala</c:v>
                </c:pt>
                <c:pt idx="2">
                  <c:v>Guntur</c:v>
                </c:pt>
                <c:pt idx="3">
                  <c:v>Ongole</c:v>
                </c:pt>
                <c:pt idx="4">
                  <c:v>Tenali</c:v>
                </c:pt>
                <c:pt idx="5">
                  <c:v>Vijayawada</c:v>
                </c:pt>
              </c:strCache>
            </c:strRef>
          </c:cat>
          <c:val>
            <c:numRef>
              <c:f>'pivot tables'!$C$152:$C$158</c:f>
              <c:numCache>
                <c:formatCode>_ * #,##0_ ;_ * \-#,##0_ ;_ * "-"??_ ;_ @_ </c:formatCode>
                <c:ptCount val="6"/>
                <c:pt idx="0">
                  <c:v>56</c:v>
                </c:pt>
                <c:pt idx="1">
                  <c:v>44</c:v>
                </c:pt>
                <c:pt idx="2">
                  <c:v>50</c:v>
                </c:pt>
                <c:pt idx="3">
                  <c:v>16</c:v>
                </c:pt>
                <c:pt idx="4">
                  <c:v>70</c:v>
                </c:pt>
                <c:pt idx="5">
                  <c:v>42</c:v>
                </c:pt>
              </c:numCache>
            </c:numRef>
          </c:val>
          <c:smooth val="0"/>
          <c:extLst>
            <c:ext xmlns:c16="http://schemas.microsoft.com/office/drawing/2014/chart" uri="{C3380CC4-5D6E-409C-BE32-E72D297353CC}">
              <c16:uniqueId val="{00000000-8715-4382-93AC-39D5543BD355}"/>
            </c:ext>
          </c:extLst>
        </c:ser>
        <c:ser>
          <c:idx val="1"/>
          <c:order val="1"/>
          <c:tx>
            <c:strRef>
              <c:f>'pivot tables'!$D$151</c:f>
              <c:strCache>
                <c:ptCount val="1"/>
                <c:pt idx="0">
                  <c:v>Sum of Units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tables'!$B$152:$B$158</c:f>
              <c:strCache>
                <c:ptCount val="6"/>
                <c:pt idx="0">
                  <c:v>Bapatla</c:v>
                </c:pt>
                <c:pt idx="1">
                  <c:v>Chirala</c:v>
                </c:pt>
                <c:pt idx="2">
                  <c:v>Guntur</c:v>
                </c:pt>
                <c:pt idx="3">
                  <c:v>Ongole</c:v>
                </c:pt>
                <c:pt idx="4">
                  <c:v>Tenali</c:v>
                </c:pt>
                <c:pt idx="5">
                  <c:v>Vijayawada</c:v>
                </c:pt>
              </c:strCache>
            </c:strRef>
          </c:cat>
          <c:val>
            <c:numRef>
              <c:f>'pivot tables'!$D$152:$D$158</c:f>
              <c:numCache>
                <c:formatCode>_ * #,##0_ ;_ * \-#,##0_ ;_ * "-"??_ ;_ @_ </c:formatCode>
                <c:ptCount val="6"/>
                <c:pt idx="0">
                  <c:v>1512</c:v>
                </c:pt>
                <c:pt idx="1">
                  <c:v>1022</c:v>
                </c:pt>
                <c:pt idx="2">
                  <c:v>1402</c:v>
                </c:pt>
                <c:pt idx="3">
                  <c:v>531</c:v>
                </c:pt>
                <c:pt idx="4">
                  <c:v>1982</c:v>
                </c:pt>
                <c:pt idx="5">
                  <c:v>1221</c:v>
                </c:pt>
              </c:numCache>
            </c:numRef>
          </c:val>
          <c:smooth val="0"/>
          <c:extLst>
            <c:ext xmlns:c16="http://schemas.microsoft.com/office/drawing/2014/chart" uri="{C3380CC4-5D6E-409C-BE32-E72D297353CC}">
              <c16:uniqueId val="{00000001-8715-4382-93AC-39D5543BD355}"/>
            </c:ext>
          </c:extLst>
        </c:ser>
        <c:ser>
          <c:idx val="2"/>
          <c:order val="2"/>
          <c:tx>
            <c:strRef>
              <c:f>'pivot tables'!$E$151</c:f>
              <c:strCache>
                <c:ptCount val="1"/>
                <c:pt idx="0">
                  <c:v>Sum of Amount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tables'!$B$152:$B$158</c:f>
              <c:strCache>
                <c:ptCount val="6"/>
                <c:pt idx="0">
                  <c:v>Bapatla</c:v>
                </c:pt>
                <c:pt idx="1">
                  <c:v>Chirala</c:v>
                </c:pt>
                <c:pt idx="2">
                  <c:v>Guntur</c:v>
                </c:pt>
                <c:pt idx="3">
                  <c:v>Ongole</c:v>
                </c:pt>
                <c:pt idx="4">
                  <c:v>Tenali</c:v>
                </c:pt>
                <c:pt idx="5">
                  <c:v>Vijayawada</c:v>
                </c:pt>
              </c:strCache>
            </c:strRef>
          </c:cat>
          <c:val>
            <c:numRef>
              <c:f>'pivot tables'!$E$152:$E$158</c:f>
              <c:numCache>
                <c:formatCode>_ * #,##0_ ;_ * \-#,##0_ ;_ * "-"??_ ;_ @_ </c:formatCode>
                <c:ptCount val="6"/>
                <c:pt idx="0">
                  <c:v>16052685</c:v>
                </c:pt>
                <c:pt idx="1">
                  <c:v>16926316</c:v>
                </c:pt>
                <c:pt idx="2">
                  <c:v>19179514</c:v>
                </c:pt>
                <c:pt idx="3">
                  <c:v>10438408</c:v>
                </c:pt>
                <c:pt idx="4">
                  <c:v>41054876</c:v>
                </c:pt>
                <c:pt idx="5">
                  <c:v>15080094</c:v>
                </c:pt>
              </c:numCache>
            </c:numRef>
          </c:val>
          <c:smooth val="0"/>
          <c:extLst>
            <c:ext xmlns:c16="http://schemas.microsoft.com/office/drawing/2014/chart" uri="{C3380CC4-5D6E-409C-BE32-E72D297353CC}">
              <c16:uniqueId val="{00000002-8715-4382-93AC-39D5543BD355}"/>
            </c:ext>
          </c:extLst>
        </c:ser>
        <c:dLbls>
          <c:showLegendKey val="0"/>
          <c:showVal val="0"/>
          <c:showCatName val="0"/>
          <c:showSerName val="0"/>
          <c:showPercent val="0"/>
          <c:showBubbleSize val="0"/>
        </c:dLbls>
        <c:marker val="1"/>
        <c:smooth val="0"/>
        <c:axId val="1292526112"/>
        <c:axId val="1597007760"/>
      </c:lineChart>
      <c:catAx>
        <c:axId val="129252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007760"/>
        <c:crosses val="autoZero"/>
        <c:auto val="1"/>
        <c:lblAlgn val="ctr"/>
        <c:lblOffset val="100"/>
        <c:noMultiLvlLbl val="0"/>
      </c:catAx>
      <c:valAx>
        <c:axId val="1597007760"/>
        <c:scaling>
          <c:orientation val="minMax"/>
        </c:scaling>
        <c:delete val="1"/>
        <c:axPos val="l"/>
        <c:numFmt formatCode="_ * #,##0_ ;_ * \-#,##0_ ;_ * &quot;-&quot;??_ ;_ @_ " sourceLinked="1"/>
        <c:majorTickMark val="none"/>
        <c:minorTickMark val="none"/>
        <c:tickLblPos val="nextTo"/>
        <c:crossAx val="129252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using excel.xlsx]pivot tables!PivotTable8</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tables'!$C$199</c:f>
              <c:strCache>
                <c:ptCount val="1"/>
                <c:pt idx="0">
                  <c:v>Count of Date</c:v>
                </c:pt>
              </c:strCache>
            </c:strRef>
          </c:tx>
          <c:spPr>
            <a:solidFill>
              <a:schemeClr val="accent1"/>
            </a:solidFill>
            <a:ln>
              <a:noFill/>
            </a:ln>
            <a:effectLst/>
          </c:spPr>
          <c:invertIfNegative val="0"/>
          <c:cat>
            <c:strRef>
              <c:f>'pivot tables'!$B$200:$B$206</c:f>
              <c:strCache>
                <c:ptCount val="6"/>
                <c:pt idx="0">
                  <c:v>Bapatla</c:v>
                </c:pt>
                <c:pt idx="1">
                  <c:v>Chirala</c:v>
                </c:pt>
                <c:pt idx="2">
                  <c:v>Guntur</c:v>
                </c:pt>
                <c:pt idx="3">
                  <c:v>Ongole</c:v>
                </c:pt>
                <c:pt idx="4">
                  <c:v>Tenali</c:v>
                </c:pt>
                <c:pt idx="5">
                  <c:v>Vijayawada</c:v>
                </c:pt>
              </c:strCache>
            </c:strRef>
          </c:cat>
          <c:val>
            <c:numRef>
              <c:f>'pivot tables'!$C$200:$C$206</c:f>
              <c:numCache>
                <c:formatCode>_ * #,##0_ ;_ * \-#,##0_ ;_ * "-"??_ ;_ @_ </c:formatCode>
                <c:ptCount val="6"/>
                <c:pt idx="0">
                  <c:v>56</c:v>
                </c:pt>
                <c:pt idx="1">
                  <c:v>44</c:v>
                </c:pt>
                <c:pt idx="2">
                  <c:v>50</c:v>
                </c:pt>
                <c:pt idx="3">
                  <c:v>16</c:v>
                </c:pt>
                <c:pt idx="4">
                  <c:v>70</c:v>
                </c:pt>
                <c:pt idx="5">
                  <c:v>42</c:v>
                </c:pt>
              </c:numCache>
            </c:numRef>
          </c:val>
          <c:extLst>
            <c:ext xmlns:c16="http://schemas.microsoft.com/office/drawing/2014/chart" uri="{C3380CC4-5D6E-409C-BE32-E72D297353CC}">
              <c16:uniqueId val="{00000000-77DF-465F-897A-E39A231ABCD4}"/>
            </c:ext>
          </c:extLst>
        </c:ser>
        <c:ser>
          <c:idx val="1"/>
          <c:order val="1"/>
          <c:tx>
            <c:strRef>
              <c:f>'pivot tables'!$D$199</c:f>
              <c:strCache>
                <c:ptCount val="1"/>
                <c:pt idx="0">
                  <c:v>Sum of Units</c:v>
                </c:pt>
              </c:strCache>
            </c:strRef>
          </c:tx>
          <c:spPr>
            <a:solidFill>
              <a:schemeClr val="accent2"/>
            </a:solidFill>
            <a:ln>
              <a:noFill/>
            </a:ln>
            <a:effectLst/>
          </c:spPr>
          <c:invertIfNegative val="0"/>
          <c:cat>
            <c:strRef>
              <c:f>'pivot tables'!$B$200:$B$206</c:f>
              <c:strCache>
                <c:ptCount val="6"/>
                <c:pt idx="0">
                  <c:v>Bapatla</c:v>
                </c:pt>
                <c:pt idx="1">
                  <c:v>Chirala</c:v>
                </c:pt>
                <c:pt idx="2">
                  <c:v>Guntur</c:v>
                </c:pt>
                <c:pt idx="3">
                  <c:v>Ongole</c:v>
                </c:pt>
                <c:pt idx="4">
                  <c:v>Tenali</c:v>
                </c:pt>
                <c:pt idx="5">
                  <c:v>Vijayawada</c:v>
                </c:pt>
              </c:strCache>
            </c:strRef>
          </c:cat>
          <c:val>
            <c:numRef>
              <c:f>'pivot tables'!$D$200:$D$206</c:f>
              <c:numCache>
                <c:formatCode>_ * #,##0_ ;_ * \-#,##0_ ;_ * "-"??_ ;_ @_ </c:formatCode>
                <c:ptCount val="6"/>
                <c:pt idx="0">
                  <c:v>1512</c:v>
                </c:pt>
                <c:pt idx="1">
                  <c:v>1022</c:v>
                </c:pt>
                <c:pt idx="2">
                  <c:v>1402</c:v>
                </c:pt>
                <c:pt idx="3">
                  <c:v>531</c:v>
                </c:pt>
                <c:pt idx="4">
                  <c:v>1982</c:v>
                </c:pt>
                <c:pt idx="5">
                  <c:v>1221</c:v>
                </c:pt>
              </c:numCache>
            </c:numRef>
          </c:val>
          <c:extLst>
            <c:ext xmlns:c16="http://schemas.microsoft.com/office/drawing/2014/chart" uri="{C3380CC4-5D6E-409C-BE32-E72D297353CC}">
              <c16:uniqueId val="{00000001-77DF-465F-897A-E39A231ABCD4}"/>
            </c:ext>
          </c:extLst>
        </c:ser>
        <c:ser>
          <c:idx val="2"/>
          <c:order val="2"/>
          <c:tx>
            <c:strRef>
              <c:f>'pivot tables'!$E$199</c:f>
              <c:strCache>
                <c:ptCount val="1"/>
                <c:pt idx="0">
                  <c:v>Sum of Amount</c:v>
                </c:pt>
              </c:strCache>
            </c:strRef>
          </c:tx>
          <c:spPr>
            <a:solidFill>
              <a:schemeClr val="accent3"/>
            </a:solidFill>
            <a:ln>
              <a:noFill/>
            </a:ln>
            <a:effectLst/>
          </c:spPr>
          <c:invertIfNegative val="0"/>
          <c:cat>
            <c:strRef>
              <c:f>'pivot tables'!$B$200:$B$206</c:f>
              <c:strCache>
                <c:ptCount val="6"/>
                <c:pt idx="0">
                  <c:v>Bapatla</c:v>
                </c:pt>
                <c:pt idx="1">
                  <c:v>Chirala</c:v>
                </c:pt>
                <c:pt idx="2">
                  <c:v>Guntur</c:v>
                </c:pt>
                <c:pt idx="3">
                  <c:v>Ongole</c:v>
                </c:pt>
                <c:pt idx="4">
                  <c:v>Tenali</c:v>
                </c:pt>
                <c:pt idx="5">
                  <c:v>Vijayawada</c:v>
                </c:pt>
              </c:strCache>
            </c:strRef>
          </c:cat>
          <c:val>
            <c:numRef>
              <c:f>'pivot tables'!$E$200:$E$206</c:f>
              <c:numCache>
                <c:formatCode>_ * #,##0_ ;_ * \-#,##0_ ;_ * "-"??_ ;_ @_ </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2-77DF-465F-897A-E39A231ABCD4}"/>
            </c:ext>
          </c:extLst>
        </c:ser>
        <c:dLbls>
          <c:showLegendKey val="0"/>
          <c:showVal val="0"/>
          <c:showCatName val="0"/>
          <c:showSerName val="0"/>
          <c:showPercent val="0"/>
          <c:showBubbleSize val="0"/>
        </c:dLbls>
        <c:gapWidth val="182"/>
        <c:axId val="1596924720"/>
        <c:axId val="1596911760"/>
      </c:barChart>
      <c:catAx>
        <c:axId val="159692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911760"/>
        <c:crosses val="autoZero"/>
        <c:auto val="1"/>
        <c:lblAlgn val="ctr"/>
        <c:lblOffset val="100"/>
        <c:noMultiLvlLbl val="0"/>
      </c:catAx>
      <c:valAx>
        <c:axId val="1596911760"/>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92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5.png"/><Relationship Id="rId7" Type="http://schemas.openxmlformats.org/officeDocument/2006/relationships/chart" Target="../charts/chart1.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10" Type="http://schemas.openxmlformats.org/officeDocument/2006/relationships/image" Target="../media/image9.png"/><Relationship Id="rId4" Type="http://schemas.openxmlformats.org/officeDocument/2006/relationships/image" Target="../media/image6.sv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4.svg"/><Relationship Id="rId1" Type="http://schemas.openxmlformats.org/officeDocument/2006/relationships/image" Target="../media/image3.png"/><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5.png"/><Relationship Id="rId7" Type="http://schemas.openxmlformats.org/officeDocument/2006/relationships/chart" Target="../charts/chart7.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image" Target="../media/image11.sv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1.xml"/><Relationship Id="rId16" Type="http://schemas.openxmlformats.org/officeDocument/2006/relationships/chart" Target="../charts/chart25.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5" Type="http://schemas.openxmlformats.org/officeDocument/2006/relationships/chart" Target="../charts/chart2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0</xdr:col>
      <xdr:colOff>561062</xdr:colOff>
      <xdr:row>0</xdr:row>
      <xdr:rowOff>169624</xdr:rowOff>
    </xdr:from>
    <xdr:to>
      <xdr:col>23</xdr:col>
      <xdr:colOff>404486</xdr:colOff>
      <xdr:row>51</xdr:row>
      <xdr:rowOff>182672</xdr:rowOff>
    </xdr:to>
    <xdr:sp macro="" textlink="">
      <xdr:nvSpPr>
        <xdr:cNvPr id="2" name="Rectangle: Rounded Corners 1">
          <a:extLst>
            <a:ext uri="{FF2B5EF4-FFF2-40B4-BE49-F238E27FC236}">
              <a16:creationId xmlns:a16="http://schemas.microsoft.com/office/drawing/2014/main" id="{0371D949-6C76-644A-8683-316AEB02DBF7}"/>
            </a:ext>
          </a:extLst>
        </xdr:cNvPr>
        <xdr:cNvSpPr/>
      </xdr:nvSpPr>
      <xdr:spPr>
        <a:xfrm>
          <a:off x="561062" y="169624"/>
          <a:ext cx="14130924" cy="9994726"/>
        </a:xfrm>
        <a:prstGeom prst="roundRect">
          <a:avLst>
            <a:gd name="adj" fmla="val 105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3</xdr:col>
      <xdr:colOff>469727</xdr:colOff>
      <xdr:row>1</xdr:row>
      <xdr:rowOff>91335</xdr:rowOff>
    </xdr:from>
    <xdr:to>
      <xdr:col>23</xdr:col>
      <xdr:colOff>26096</xdr:colOff>
      <xdr:row>50</xdr:row>
      <xdr:rowOff>91335</xdr:rowOff>
    </xdr:to>
    <xdr:sp macro="" textlink="">
      <xdr:nvSpPr>
        <xdr:cNvPr id="3" name="Rectangle: Rounded Corners 2">
          <a:extLst>
            <a:ext uri="{FF2B5EF4-FFF2-40B4-BE49-F238E27FC236}">
              <a16:creationId xmlns:a16="http://schemas.microsoft.com/office/drawing/2014/main" id="{310E45C0-CCE3-40A0-B72E-46BC08CF19BC}"/>
            </a:ext>
          </a:extLst>
        </xdr:cNvPr>
        <xdr:cNvSpPr/>
      </xdr:nvSpPr>
      <xdr:spPr>
        <a:xfrm>
          <a:off x="2309487" y="287054"/>
          <a:ext cx="12004109" cy="9590240"/>
        </a:xfrm>
        <a:prstGeom prst="roundRect">
          <a:avLst>
            <a:gd name="adj" fmla="val 4989"/>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568191</xdr:colOff>
      <xdr:row>19</xdr:row>
      <xdr:rowOff>179444</xdr:rowOff>
    </xdr:from>
    <xdr:to>
      <xdr:col>7</xdr:col>
      <xdr:colOff>26096</xdr:colOff>
      <xdr:row>22</xdr:row>
      <xdr:rowOff>169622</xdr:rowOff>
    </xdr:to>
    <xdr:pic>
      <xdr:nvPicPr>
        <xdr:cNvPr id="14" name="Graphic 13" descr="Bar chart with solid fill">
          <a:extLst>
            <a:ext uri="{FF2B5EF4-FFF2-40B4-BE49-F238E27FC236}">
              <a16:creationId xmlns:a16="http://schemas.microsoft.com/office/drawing/2014/main" id="{54B1012C-2464-FA00-306E-165DF073FA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21205" y="3898108"/>
          <a:ext cx="1297665" cy="577336"/>
        </a:xfrm>
        <a:prstGeom prst="rect">
          <a:avLst/>
        </a:prstGeom>
      </xdr:spPr>
    </xdr:pic>
    <xdr:clientData/>
  </xdr:twoCellAnchor>
  <xdr:twoCellAnchor>
    <xdr:from>
      <xdr:col>7</xdr:col>
      <xdr:colOff>156575</xdr:colOff>
      <xdr:row>20</xdr:row>
      <xdr:rowOff>52191</xdr:rowOff>
    </xdr:from>
    <xdr:to>
      <xdr:col>9</xdr:col>
      <xdr:colOff>234863</xdr:colOff>
      <xdr:row>23</xdr:row>
      <xdr:rowOff>0</xdr:rowOff>
    </xdr:to>
    <xdr:sp macro="" textlink="">
      <xdr:nvSpPr>
        <xdr:cNvPr id="17" name="Rectangle 16">
          <a:extLst>
            <a:ext uri="{FF2B5EF4-FFF2-40B4-BE49-F238E27FC236}">
              <a16:creationId xmlns:a16="http://schemas.microsoft.com/office/drawing/2014/main" id="{7854398A-1EFD-09B6-5167-D655DDAEA096}"/>
            </a:ext>
          </a:extLst>
        </xdr:cNvPr>
        <xdr:cNvSpPr/>
      </xdr:nvSpPr>
      <xdr:spPr>
        <a:xfrm>
          <a:off x="4449349" y="3966575"/>
          <a:ext cx="1487466" cy="5349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ysClr val="windowText" lastClr="000000"/>
              </a:solidFill>
            </a:rPr>
            <a:t>Analytics</a:t>
          </a:r>
        </a:p>
      </xdr:txBody>
    </xdr:sp>
    <xdr:clientData/>
  </xdr:twoCellAnchor>
  <xdr:twoCellAnchor>
    <xdr:from>
      <xdr:col>5</xdr:col>
      <xdr:colOff>242398</xdr:colOff>
      <xdr:row>24</xdr:row>
      <xdr:rowOff>107882</xdr:rowOff>
    </xdr:from>
    <xdr:to>
      <xdr:col>8</xdr:col>
      <xdr:colOff>497707</xdr:colOff>
      <xdr:row>27</xdr:row>
      <xdr:rowOff>147160</xdr:rowOff>
    </xdr:to>
    <xdr:sp macro="" textlink="">
      <xdr:nvSpPr>
        <xdr:cNvPr id="7" name="Rectangle: Rounded Corners 6">
          <a:extLst>
            <a:ext uri="{FF2B5EF4-FFF2-40B4-BE49-F238E27FC236}">
              <a16:creationId xmlns:a16="http://schemas.microsoft.com/office/drawing/2014/main" id="{CF39466B-AE2A-75F9-29A5-7212F0A266EF}"/>
            </a:ext>
          </a:extLst>
        </xdr:cNvPr>
        <xdr:cNvSpPr/>
      </xdr:nvSpPr>
      <xdr:spPr>
        <a:xfrm>
          <a:off x="3308665" y="4805142"/>
          <a:ext cx="2095069" cy="626436"/>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734718</xdr:colOff>
      <xdr:row>24</xdr:row>
      <xdr:rowOff>88246</xdr:rowOff>
    </xdr:from>
    <xdr:to>
      <xdr:col>13</xdr:col>
      <xdr:colOff>125367</xdr:colOff>
      <xdr:row>27</xdr:row>
      <xdr:rowOff>156982</xdr:rowOff>
    </xdr:to>
    <xdr:sp macro="" textlink="">
      <xdr:nvSpPr>
        <xdr:cNvPr id="9" name="Rectangle: Rounded Corners 8">
          <a:extLst>
            <a:ext uri="{FF2B5EF4-FFF2-40B4-BE49-F238E27FC236}">
              <a16:creationId xmlns:a16="http://schemas.microsoft.com/office/drawing/2014/main" id="{1A5268C5-A3FA-4BCE-B053-54B02FB67926}"/>
            </a:ext>
          </a:extLst>
        </xdr:cNvPr>
        <xdr:cNvSpPr/>
      </xdr:nvSpPr>
      <xdr:spPr>
        <a:xfrm>
          <a:off x="5640745" y="4785506"/>
          <a:ext cx="2639588" cy="655894"/>
        </a:xfrm>
        <a:prstGeom prst="roundRect">
          <a:avLst>
            <a:gd name="adj" fmla="val 19793"/>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5</xdr:col>
      <xdr:colOff>402873</xdr:colOff>
      <xdr:row>24</xdr:row>
      <xdr:rowOff>186438</xdr:rowOff>
    </xdr:from>
    <xdr:to>
      <xdr:col>8</xdr:col>
      <xdr:colOff>402874</xdr:colOff>
      <xdr:row>27</xdr:row>
      <xdr:rowOff>98063</xdr:rowOff>
    </xdr:to>
    <xdr:sp macro="" textlink="">
      <xdr:nvSpPr>
        <xdr:cNvPr id="11" name="Rectangle: Rounded Corners 10">
          <a:extLst>
            <a:ext uri="{FF2B5EF4-FFF2-40B4-BE49-F238E27FC236}">
              <a16:creationId xmlns:a16="http://schemas.microsoft.com/office/drawing/2014/main" id="{3D073472-FD5B-4E12-8298-DFC37D15DD34}"/>
            </a:ext>
          </a:extLst>
        </xdr:cNvPr>
        <xdr:cNvSpPr/>
      </xdr:nvSpPr>
      <xdr:spPr>
        <a:xfrm>
          <a:off x="3469140" y="4883698"/>
          <a:ext cx="1839761" cy="49878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5">
                  <a:lumMod val="60000"/>
                  <a:lumOff val="40000"/>
                </a:schemeClr>
              </a:solidFill>
            </a:rPr>
            <a:t>TOTAL AMOUNT</a:t>
          </a:r>
        </a:p>
        <a:p>
          <a:pPr algn="ctr"/>
          <a:r>
            <a:rPr lang="en-IN" sz="1200" b="1">
              <a:solidFill>
                <a:schemeClr val="accent5">
                  <a:lumMod val="60000"/>
                  <a:lumOff val="40000"/>
                </a:schemeClr>
              </a:solidFill>
            </a:rPr>
            <a:t>=</a:t>
          </a:r>
        </a:p>
      </xdr:txBody>
    </xdr:sp>
    <xdr:clientData/>
  </xdr:twoCellAnchor>
  <xdr:twoCellAnchor>
    <xdr:from>
      <xdr:col>4</xdr:col>
      <xdr:colOff>169624</xdr:colOff>
      <xdr:row>30</xdr:row>
      <xdr:rowOff>13049</xdr:rowOff>
    </xdr:from>
    <xdr:to>
      <xdr:col>13</xdr:col>
      <xdr:colOff>391438</xdr:colOff>
      <xdr:row>49</xdr:row>
      <xdr:rowOff>182672</xdr:rowOff>
    </xdr:to>
    <xdr:sp macro="" textlink="">
      <xdr:nvSpPr>
        <xdr:cNvPr id="12" name="Rectangle 11">
          <a:extLst>
            <a:ext uri="{FF2B5EF4-FFF2-40B4-BE49-F238E27FC236}">
              <a16:creationId xmlns:a16="http://schemas.microsoft.com/office/drawing/2014/main" id="{22642993-4BD0-BD1C-A28B-6E2915239BBE}"/>
            </a:ext>
          </a:extLst>
        </xdr:cNvPr>
        <xdr:cNvSpPr/>
      </xdr:nvSpPr>
      <xdr:spPr>
        <a:xfrm>
          <a:off x="2622638" y="5884624"/>
          <a:ext cx="5923766" cy="38882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497838</xdr:colOff>
      <xdr:row>19</xdr:row>
      <xdr:rowOff>3521</xdr:rowOff>
    </xdr:from>
    <xdr:to>
      <xdr:col>22</xdr:col>
      <xdr:colOff>495821</xdr:colOff>
      <xdr:row>31</xdr:row>
      <xdr:rowOff>117428</xdr:rowOff>
    </xdr:to>
    <xdr:sp macro="" textlink="">
      <xdr:nvSpPr>
        <xdr:cNvPr id="15" name="Rectangle 14">
          <a:extLst>
            <a:ext uri="{FF2B5EF4-FFF2-40B4-BE49-F238E27FC236}">
              <a16:creationId xmlns:a16="http://schemas.microsoft.com/office/drawing/2014/main" id="{484F2317-EF6F-4C6C-901B-D8F846939E68}"/>
            </a:ext>
          </a:extLst>
        </xdr:cNvPr>
        <xdr:cNvSpPr/>
      </xdr:nvSpPr>
      <xdr:spPr>
        <a:xfrm>
          <a:off x="8652804" y="3722185"/>
          <a:ext cx="5517264" cy="246253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147562</xdr:colOff>
      <xdr:row>11</xdr:row>
      <xdr:rowOff>163703</xdr:rowOff>
    </xdr:from>
    <xdr:to>
      <xdr:col>3</xdr:col>
      <xdr:colOff>402871</xdr:colOff>
      <xdr:row>14</xdr:row>
      <xdr:rowOff>36049</xdr:rowOff>
    </xdr:to>
    <xdr:sp macro="" textlink="">
      <xdr:nvSpPr>
        <xdr:cNvPr id="18" name="Rectangle: Rounded Corners 17">
          <a:extLst>
            <a:ext uri="{FF2B5EF4-FFF2-40B4-BE49-F238E27FC236}">
              <a16:creationId xmlns:a16="http://schemas.microsoft.com/office/drawing/2014/main" id="{A502F291-A839-51F1-0FEC-0D2D9A026800}"/>
            </a:ext>
          </a:extLst>
        </xdr:cNvPr>
        <xdr:cNvSpPr/>
      </xdr:nvSpPr>
      <xdr:spPr>
        <a:xfrm>
          <a:off x="760815" y="2316614"/>
          <a:ext cx="1481816" cy="459503"/>
        </a:xfrm>
        <a:prstGeom prst="roundRect">
          <a:avLst/>
        </a:prstGeom>
        <a:solidFill>
          <a:schemeClr val="bg1"/>
        </a:solidFill>
        <a:ln w="19050">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0B050"/>
              </a:solidFill>
            </a:rPr>
            <a:t>DASHBOARD</a:t>
          </a:r>
          <a:endParaRPr lang="en-IN" sz="1600" b="1">
            <a:solidFill>
              <a:srgbClr val="00B050"/>
            </a:solidFill>
          </a:endParaRPr>
        </a:p>
      </xdr:txBody>
    </xdr:sp>
    <xdr:clientData/>
  </xdr:twoCellAnchor>
  <xdr:twoCellAnchor>
    <xdr:from>
      <xdr:col>1</xdr:col>
      <xdr:colOff>130480</xdr:colOff>
      <xdr:row>17</xdr:row>
      <xdr:rowOff>78555</xdr:rowOff>
    </xdr:from>
    <xdr:to>
      <xdr:col>3</xdr:col>
      <xdr:colOff>378391</xdr:colOff>
      <xdr:row>19</xdr:row>
      <xdr:rowOff>137473</xdr:rowOff>
    </xdr:to>
    <xdr:sp macro="" textlink="">
      <xdr:nvSpPr>
        <xdr:cNvPr id="19" name="Rectangle: Rounded Corners 18">
          <a:extLst>
            <a:ext uri="{FF2B5EF4-FFF2-40B4-BE49-F238E27FC236}">
              <a16:creationId xmlns:a16="http://schemas.microsoft.com/office/drawing/2014/main" id="{74F38E2F-7CDA-4F39-86F9-4E7077FF91E4}"/>
            </a:ext>
          </a:extLst>
        </xdr:cNvPr>
        <xdr:cNvSpPr/>
      </xdr:nvSpPr>
      <xdr:spPr>
        <a:xfrm>
          <a:off x="743733" y="3405781"/>
          <a:ext cx="1474418" cy="450356"/>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SALES MANS</a:t>
          </a:r>
        </a:p>
      </xdr:txBody>
    </xdr:sp>
    <xdr:clientData/>
  </xdr:twoCellAnchor>
  <xdr:twoCellAnchor>
    <xdr:from>
      <xdr:col>1</xdr:col>
      <xdr:colOff>169625</xdr:colOff>
      <xdr:row>14</xdr:row>
      <xdr:rowOff>122939</xdr:rowOff>
    </xdr:from>
    <xdr:to>
      <xdr:col>3</xdr:col>
      <xdr:colOff>378392</xdr:colOff>
      <xdr:row>16</xdr:row>
      <xdr:rowOff>181856</xdr:rowOff>
    </xdr:to>
    <xdr:sp macro="" textlink="">
      <xdr:nvSpPr>
        <xdr:cNvPr id="20" name="Rectangle: Rounded Corners 19">
          <a:extLst>
            <a:ext uri="{FF2B5EF4-FFF2-40B4-BE49-F238E27FC236}">
              <a16:creationId xmlns:a16="http://schemas.microsoft.com/office/drawing/2014/main" id="{E851A851-3073-43EB-A920-9480935D3D8B}"/>
            </a:ext>
          </a:extLst>
        </xdr:cNvPr>
        <xdr:cNvSpPr/>
      </xdr:nvSpPr>
      <xdr:spPr>
        <a:xfrm>
          <a:off x="782878" y="2863007"/>
          <a:ext cx="1435274" cy="450356"/>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PRODUCTS</a:t>
          </a:r>
          <a:endParaRPr lang="en-IN" sz="1600" b="1">
            <a:solidFill>
              <a:schemeClr val="bg1"/>
            </a:solidFill>
          </a:endParaRPr>
        </a:p>
      </xdr:txBody>
    </xdr:sp>
    <xdr:clientData/>
  </xdr:twoCellAnchor>
  <xdr:twoCellAnchor>
    <xdr:from>
      <xdr:col>1</xdr:col>
      <xdr:colOff>130481</xdr:colOff>
      <xdr:row>20</xdr:row>
      <xdr:rowOff>47612</xdr:rowOff>
    </xdr:from>
    <xdr:to>
      <xdr:col>3</xdr:col>
      <xdr:colOff>378392</xdr:colOff>
      <xdr:row>22</xdr:row>
      <xdr:rowOff>106529</xdr:rowOff>
    </xdr:to>
    <xdr:sp macro="" textlink="">
      <xdr:nvSpPr>
        <xdr:cNvPr id="21" name="Rectangle: Rounded Corners 20">
          <a:extLst>
            <a:ext uri="{FF2B5EF4-FFF2-40B4-BE49-F238E27FC236}">
              <a16:creationId xmlns:a16="http://schemas.microsoft.com/office/drawing/2014/main" id="{C017E092-330B-42D9-8617-429751ED5FA0}"/>
            </a:ext>
          </a:extLst>
        </xdr:cNvPr>
        <xdr:cNvSpPr/>
      </xdr:nvSpPr>
      <xdr:spPr>
        <a:xfrm>
          <a:off x="743734" y="3961996"/>
          <a:ext cx="1474418" cy="450355"/>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ABOUT</a:t>
          </a:r>
          <a:endParaRPr lang="en-IN" sz="1600" b="1">
            <a:solidFill>
              <a:schemeClr val="bg1"/>
            </a:solidFill>
          </a:endParaRPr>
        </a:p>
      </xdr:txBody>
    </xdr:sp>
    <xdr:clientData/>
  </xdr:twoCellAnchor>
  <xdr:twoCellAnchor editAs="oneCell">
    <xdr:from>
      <xdr:col>5</xdr:col>
      <xdr:colOff>574110</xdr:colOff>
      <xdr:row>25</xdr:row>
      <xdr:rowOff>49503</xdr:rowOff>
    </xdr:from>
    <xdr:to>
      <xdr:col>6</xdr:col>
      <xdr:colOff>91334</xdr:colOff>
      <xdr:row>26</xdr:row>
      <xdr:rowOff>183548</xdr:rowOff>
    </xdr:to>
    <xdr:pic>
      <xdr:nvPicPr>
        <xdr:cNvPr id="23" name="Graphic 22" descr="Rupee with solid fill">
          <a:extLst>
            <a:ext uri="{FF2B5EF4-FFF2-40B4-BE49-F238E27FC236}">
              <a16:creationId xmlns:a16="http://schemas.microsoft.com/office/drawing/2014/main" id="{DEB521CA-1F52-6347-B2B3-E13937FE3D8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40377" y="4942482"/>
          <a:ext cx="130478" cy="329765"/>
        </a:xfrm>
        <a:prstGeom prst="rect">
          <a:avLst/>
        </a:prstGeom>
      </xdr:spPr>
    </xdr:pic>
    <xdr:clientData/>
  </xdr:twoCellAnchor>
  <xdr:twoCellAnchor>
    <xdr:from>
      <xdr:col>9</xdr:col>
      <xdr:colOff>246157</xdr:colOff>
      <xdr:row>24</xdr:row>
      <xdr:rowOff>153757</xdr:rowOff>
    </xdr:from>
    <xdr:to>
      <xdr:col>13</xdr:col>
      <xdr:colOff>89046</xdr:colOff>
      <xdr:row>27</xdr:row>
      <xdr:rowOff>85020</xdr:rowOff>
    </xdr:to>
    <xdr:sp macro="" textlink="">
      <xdr:nvSpPr>
        <xdr:cNvPr id="24" name="Rectangle: Rounded Corners 23">
          <a:extLst>
            <a:ext uri="{FF2B5EF4-FFF2-40B4-BE49-F238E27FC236}">
              <a16:creationId xmlns:a16="http://schemas.microsoft.com/office/drawing/2014/main" id="{417F3199-2CF9-459A-BC6B-C8356F32E299}"/>
            </a:ext>
          </a:extLst>
        </xdr:cNvPr>
        <xdr:cNvSpPr/>
      </xdr:nvSpPr>
      <xdr:spPr>
        <a:xfrm>
          <a:off x="5948109" y="4851017"/>
          <a:ext cx="2295903" cy="518421"/>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5">
                  <a:lumMod val="60000"/>
                  <a:lumOff val="40000"/>
                </a:schemeClr>
              </a:solidFill>
            </a:rPr>
            <a:t>                  </a:t>
          </a:r>
          <a:r>
            <a:rPr lang="en-IN" sz="1400" b="1">
              <a:solidFill>
                <a:schemeClr val="accent2">
                  <a:lumMod val="60000"/>
                  <a:lumOff val="40000"/>
                </a:schemeClr>
              </a:solidFill>
            </a:rPr>
            <a:t>TOTAL SALES</a:t>
          </a:r>
        </a:p>
      </xdr:txBody>
    </xdr:sp>
    <xdr:clientData/>
  </xdr:twoCellAnchor>
  <xdr:twoCellAnchor editAs="oneCell">
    <xdr:from>
      <xdr:col>9</xdr:col>
      <xdr:colOff>476318</xdr:colOff>
      <xdr:row>24</xdr:row>
      <xdr:rowOff>189800</xdr:rowOff>
    </xdr:from>
    <xdr:to>
      <xdr:col>10</xdr:col>
      <xdr:colOff>393323</xdr:colOff>
      <xdr:row>27</xdr:row>
      <xdr:rowOff>52633</xdr:rowOff>
    </xdr:to>
    <xdr:pic>
      <xdr:nvPicPr>
        <xdr:cNvPr id="26" name="Graphic 25" descr="Business Growth with solid fill">
          <a:extLst>
            <a:ext uri="{FF2B5EF4-FFF2-40B4-BE49-F238E27FC236}">
              <a16:creationId xmlns:a16="http://schemas.microsoft.com/office/drawing/2014/main" id="{FFE17C17-EF06-4134-10CE-F6B888CB012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178270" y="4887060"/>
          <a:ext cx="530258" cy="449991"/>
        </a:xfrm>
        <a:prstGeom prst="rect">
          <a:avLst/>
        </a:prstGeom>
      </xdr:spPr>
    </xdr:pic>
    <xdr:clientData/>
  </xdr:twoCellAnchor>
  <xdr:twoCellAnchor>
    <xdr:from>
      <xdr:col>5</xdr:col>
      <xdr:colOff>91335</xdr:colOff>
      <xdr:row>30</xdr:row>
      <xdr:rowOff>130480</xdr:rowOff>
    </xdr:from>
    <xdr:to>
      <xdr:col>8</xdr:col>
      <xdr:colOff>352294</xdr:colOff>
      <xdr:row>32</xdr:row>
      <xdr:rowOff>130479</xdr:rowOff>
    </xdr:to>
    <xdr:sp macro="" textlink="">
      <xdr:nvSpPr>
        <xdr:cNvPr id="27" name="Rectangle: Rounded Corners 26">
          <a:extLst>
            <a:ext uri="{FF2B5EF4-FFF2-40B4-BE49-F238E27FC236}">
              <a16:creationId xmlns:a16="http://schemas.microsoft.com/office/drawing/2014/main" id="{0E3B09A2-9531-4342-B773-854CB1B3F41B}"/>
            </a:ext>
          </a:extLst>
        </xdr:cNvPr>
        <xdr:cNvSpPr/>
      </xdr:nvSpPr>
      <xdr:spPr>
        <a:xfrm>
          <a:off x="3157602" y="6002055"/>
          <a:ext cx="2100719" cy="391438"/>
        </a:xfrm>
        <a:prstGeom prst="roundRect">
          <a:avLst>
            <a:gd name="adj" fmla="val 5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lumMod val="75000"/>
                </a:schemeClr>
              </a:solidFill>
            </a:rPr>
            <a:t>Sales</a:t>
          </a:r>
          <a:r>
            <a:rPr lang="en-IN" sz="1600" b="1" baseline="0">
              <a:solidFill>
                <a:schemeClr val="accent1">
                  <a:lumMod val="75000"/>
                </a:schemeClr>
              </a:solidFill>
            </a:rPr>
            <a:t> of Products</a:t>
          </a:r>
          <a:endParaRPr lang="en-IN" sz="1600" b="1">
            <a:solidFill>
              <a:schemeClr val="accent1">
                <a:lumMod val="75000"/>
              </a:schemeClr>
            </a:solidFill>
          </a:endParaRPr>
        </a:p>
      </xdr:txBody>
    </xdr:sp>
    <xdr:clientData/>
  </xdr:twoCellAnchor>
  <xdr:twoCellAnchor>
    <xdr:from>
      <xdr:col>13</xdr:col>
      <xdr:colOff>562940</xdr:colOff>
      <xdr:row>19</xdr:row>
      <xdr:rowOff>70481</xdr:rowOff>
    </xdr:from>
    <xdr:to>
      <xdr:col>16</xdr:col>
      <xdr:colOff>562941</xdr:colOff>
      <xdr:row>21</xdr:row>
      <xdr:rowOff>188314</xdr:rowOff>
    </xdr:to>
    <xdr:sp macro="" textlink="">
      <xdr:nvSpPr>
        <xdr:cNvPr id="28" name="Rectangle: Rounded Corners 27">
          <a:extLst>
            <a:ext uri="{FF2B5EF4-FFF2-40B4-BE49-F238E27FC236}">
              <a16:creationId xmlns:a16="http://schemas.microsoft.com/office/drawing/2014/main" id="{D754DA11-6B35-4C8B-B58A-90CAD2EAECD9}"/>
            </a:ext>
          </a:extLst>
        </xdr:cNvPr>
        <xdr:cNvSpPr/>
      </xdr:nvSpPr>
      <xdr:spPr>
        <a:xfrm>
          <a:off x="8717906" y="3789145"/>
          <a:ext cx="1839761" cy="50927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lumMod val="75000"/>
                </a:schemeClr>
              </a:solidFill>
            </a:rPr>
            <a:t>Sales</a:t>
          </a:r>
          <a:r>
            <a:rPr lang="en-IN" sz="1600" b="1" baseline="0">
              <a:solidFill>
                <a:schemeClr val="accent1">
                  <a:lumMod val="75000"/>
                </a:schemeClr>
              </a:solidFill>
            </a:rPr>
            <a:t> by Months</a:t>
          </a:r>
          <a:endParaRPr lang="en-IN" sz="1600" b="1">
            <a:solidFill>
              <a:schemeClr val="accent1">
                <a:lumMod val="75000"/>
              </a:schemeClr>
            </a:solidFill>
          </a:endParaRPr>
        </a:p>
      </xdr:txBody>
    </xdr:sp>
    <xdr:clientData/>
  </xdr:twoCellAnchor>
  <xdr:twoCellAnchor>
    <xdr:from>
      <xdr:col>13</xdr:col>
      <xdr:colOff>495822</xdr:colOff>
      <xdr:row>32</xdr:row>
      <xdr:rowOff>26096</xdr:rowOff>
    </xdr:from>
    <xdr:to>
      <xdr:col>22</xdr:col>
      <xdr:colOff>504296</xdr:colOff>
      <xdr:row>49</xdr:row>
      <xdr:rowOff>143528</xdr:rowOff>
    </xdr:to>
    <xdr:sp macro="" textlink="">
      <xdr:nvSpPr>
        <xdr:cNvPr id="29" name="Rectangle 28">
          <a:extLst>
            <a:ext uri="{FF2B5EF4-FFF2-40B4-BE49-F238E27FC236}">
              <a16:creationId xmlns:a16="http://schemas.microsoft.com/office/drawing/2014/main" id="{9F262E48-9670-4B8F-A993-A8B20DB8F394}"/>
            </a:ext>
          </a:extLst>
        </xdr:cNvPr>
        <xdr:cNvSpPr/>
      </xdr:nvSpPr>
      <xdr:spPr>
        <a:xfrm>
          <a:off x="8650788" y="6289110"/>
          <a:ext cx="5527755" cy="344465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37932</xdr:colOff>
      <xdr:row>32</xdr:row>
      <xdr:rowOff>91335</xdr:rowOff>
    </xdr:from>
    <xdr:to>
      <xdr:col>17</xdr:col>
      <xdr:colOff>111109</xdr:colOff>
      <xdr:row>34</xdr:row>
      <xdr:rowOff>130478</xdr:rowOff>
    </xdr:to>
    <xdr:sp macro="" textlink="">
      <xdr:nvSpPr>
        <xdr:cNvPr id="32" name="Rectangle: Rounded Corners 31">
          <a:extLst>
            <a:ext uri="{FF2B5EF4-FFF2-40B4-BE49-F238E27FC236}">
              <a16:creationId xmlns:a16="http://schemas.microsoft.com/office/drawing/2014/main" id="{065AE0D4-A1E8-4008-8E11-3FBEDE2EEA2A}"/>
            </a:ext>
          </a:extLst>
        </xdr:cNvPr>
        <xdr:cNvSpPr/>
      </xdr:nvSpPr>
      <xdr:spPr>
        <a:xfrm>
          <a:off x="8806151" y="6354349"/>
          <a:ext cx="1912937" cy="43058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lumMod val="75000"/>
                </a:schemeClr>
              </a:solidFill>
            </a:rPr>
            <a:t>Sales</a:t>
          </a:r>
          <a:r>
            <a:rPr lang="en-IN" sz="1600" b="1" baseline="0">
              <a:solidFill>
                <a:schemeClr val="accent1">
                  <a:lumMod val="75000"/>
                </a:schemeClr>
              </a:solidFill>
            </a:rPr>
            <a:t> by Places</a:t>
          </a:r>
          <a:endParaRPr lang="en-IN" sz="1600" b="1">
            <a:solidFill>
              <a:schemeClr val="accent1">
                <a:lumMod val="75000"/>
              </a:schemeClr>
            </a:solidFill>
          </a:endParaRPr>
        </a:p>
      </xdr:txBody>
    </xdr:sp>
    <xdr:clientData/>
  </xdr:twoCellAnchor>
  <xdr:twoCellAnchor>
    <xdr:from>
      <xdr:col>10</xdr:col>
      <xdr:colOff>495822</xdr:colOff>
      <xdr:row>26</xdr:row>
      <xdr:rowOff>0</xdr:rowOff>
    </xdr:from>
    <xdr:to>
      <xdr:col>12</xdr:col>
      <xdr:colOff>274007</xdr:colOff>
      <xdr:row>27</xdr:row>
      <xdr:rowOff>78423</xdr:rowOff>
    </xdr:to>
    <xdr:sp macro="" textlink="'pivot tables'!F64">
      <xdr:nvSpPr>
        <xdr:cNvPr id="41" name="Rectangle 40">
          <a:extLst>
            <a:ext uri="{FF2B5EF4-FFF2-40B4-BE49-F238E27FC236}">
              <a16:creationId xmlns:a16="http://schemas.microsoft.com/office/drawing/2014/main" id="{4151CAE5-7B43-4118-A959-50F10071FFED}"/>
            </a:ext>
          </a:extLst>
        </xdr:cNvPr>
        <xdr:cNvSpPr/>
      </xdr:nvSpPr>
      <xdr:spPr>
        <a:xfrm>
          <a:off x="6811027" y="5088699"/>
          <a:ext cx="1004692" cy="27414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7D9CEA8E-EF52-4D46-8F36-7B1D85A84B6B}" type="TxLink">
            <a:rPr lang="en-US" sz="1200" b="1" i="0" u="none" strike="noStrike">
              <a:solidFill>
                <a:srgbClr val="000000"/>
              </a:solidFill>
              <a:latin typeface="Aptos Narrow"/>
            </a:rPr>
            <a:pPr algn="ctr"/>
            <a:t>278</a:t>
          </a:fld>
          <a:endParaRPr lang="en-US" sz="1200" b="1"/>
        </a:p>
      </xdr:txBody>
    </xdr:sp>
    <xdr:clientData/>
  </xdr:twoCellAnchor>
  <xdr:twoCellAnchor editAs="oneCell">
    <xdr:from>
      <xdr:col>15</xdr:col>
      <xdr:colOff>39144</xdr:colOff>
      <xdr:row>7</xdr:row>
      <xdr:rowOff>182672</xdr:rowOff>
    </xdr:from>
    <xdr:to>
      <xdr:col>22</xdr:col>
      <xdr:colOff>482773</xdr:colOff>
      <xdr:row>14</xdr:row>
      <xdr:rowOff>65240</xdr:rowOff>
    </xdr:to>
    <mc:AlternateContent xmlns:mc="http://schemas.openxmlformats.org/markup-compatibility/2006" xmlns:a14="http://schemas.microsoft.com/office/drawing/2010/main">
      <mc:Choice Requires="a14">
        <xdr:graphicFrame macro="">
          <xdr:nvGraphicFramePr>
            <xdr:cNvPr id="30" name="Place 1">
              <a:extLst>
                <a:ext uri="{FF2B5EF4-FFF2-40B4-BE49-F238E27FC236}">
                  <a16:creationId xmlns:a16="http://schemas.microsoft.com/office/drawing/2014/main" id="{0C031A41-8A22-49A5-B709-98B3F3D759C3}"/>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9420617" y="1552706"/>
              <a:ext cx="4736403" cy="1252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26095</xdr:colOff>
      <xdr:row>21</xdr:row>
      <xdr:rowOff>42665</xdr:rowOff>
    </xdr:from>
    <xdr:to>
      <xdr:col>22</xdr:col>
      <xdr:colOff>417533</xdr:colOff>
      <xdr:row>31</xdr:row>
      <xdr:rowOff>26094</xdr:rowOff>
    </xdr:to>
    <xdr:graphicFrame macro="">
      <xdr:nvGraphicFramePr>
        <xdr:cNvPr id="34" name="Chart 33">
          <a:extLst>
            <a:ext uri="{FF2B5EF4-FFF2-40B4-BE49-F238E27FC236}">
              <a16:creationId xmlns:a16="http://schemas.microsoft.com/office/drawing/2014/main" id="{1B2D93F6-11B7-42A0-B86B-C20C171F8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378391</xdr:colOff>
      <xdr:row>7</xdr:row>
      <xdr:rowOff>169623</xdr:rowOff>
    </xdr:from>
    <xdr:to>
      <xdr:col>14</xdr:col>
      <xdr:colOff>587158</xdr:colOff>
      <xdr:row>14</xdr:row>
      <xdr:rowOff>91336</xdr:rowOff>
    </xdr:to>
    <mc:AlternateContent xmlns:mc="http://schemas.openxmlformats.org/markup-compatibility/2006" xmlns:tsle="http://schemas.microsoft.com/office/drawing/2012/timeslicer">
      <mc:Choice Requires="tsle">
        <xdr:graphicFrame macro="">
          <xdr:nvGraphicFramePr>
            <xdr:cNvPr id="35" name="Date 1">
              <a:extLst>
                <a:ext uri="{FF2B5EF4-FFF2-40B4-BE49-F238E27FC236}">
                  <a16:creationId xmlns:a16="http://schemas.microsoft.com/office/drawing/2014/main" id="{03F98239-08CB-3668-F7D7-650CF56AE434}"/>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831405" y="1539657"/>
              <a:ext cx="6523972" cy="12917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234863</xdr:colOff>
      <xdr:row>32</xdr:row>
      <xdr:rowOff>156575</xdr:rowOff>
    </xdr:from>
    <xdr:to>
      <xdr:col>13</xdr:col>
      <xdr:colOff>260958</xdr:colOff>
      <xdr:row>48</xdr:row>
      <xdr:rowOff>143527</xdr:rowOff>
    </xdr:to>
    <xdr:graphicFrame macro="">
      <xdr:nvGraphicFramePr>
        <xdr:cNvPr id="36" name="Chart 35">
          <a:extLst>
            <a:ext uri="{FF2B5EF4-FFF2-40B4-BE49-F238E27FC236}">
              <a16:creationId xmlns:a16="http://schemas.microsoft.com/office/drawing/2014/main" id="{E472282C-F2CF-425E-B386-0DFCD8379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378390</xdr:colOff>
      <xdr:row>14</xdr:row>
      <xdr:rowOff>143529</xdr:rowOff>
    </xdr:from>
    <xdr:to>
      <xdr:col>22</xdr:col>
      <xdr:colOff>469726</xdr:colOff>
      <xdr:row>18</xdr:row>
      <xdr:rowOff>130481</xdr:rowOff>
    </xdr:to>
    <mc:AlternateContent xmlns:mc="http://schemas.openxmlformats.org/markup-compatibility/2006" xmlns:a14="http://schemas.microsoft.com/office/drawing/2010/main">
      <mc:Choice Requires="a14">
        <xdr:graphicFrame macro="">
          <xdr:nvGraphicFramePr>
            <xdr:cNvPr id="37" name="Products 1">
              <a:extLst>
                <a:ext uri="{FF2B5EF4-FFF2-40B4-BE49-F238E27FC236}">
                  <a16:creationId xmlns:a16="http://schemas.microsoft.com/office/drawing/2014/main" id="{B616BE82-0C17-B36F-ADEB-76CAACCC3053}"/>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2831404" y="2883597"/>
              <a:ext cx="11312569" cy="769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78288</xdr:colOff>
      <xdr:row>35</xdr:row>
      <xdr:rowOff>1</xdr:rowOff>
    </xdr:from>
    <xdr:to>
      <xdr:col>22</xdr:col>
      <xdr:colOff>378390</xdr:colOff>
      <xdr:row>49</xdr:row>
      <xdr:rowOff>39144</xdr:rowOff>
    </xdr:to>
    <xdr:graphicFrame macro="">
      <xdr:nvGraphicFramePr>
        <xdr:cNvPr id="38" name="Chart 37">
          <a:extLst>
            <a:ext uri="{FF2B5EF4-FFF2-40B4-BE49-F238E27FC236}">
              <a16:creationId xmlns:a16="http://schemas.microsoft.com/office/drawing/2014/main" id="{A904F895-AFD2-4035-A85E-5534134CF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91337</xdr:colOff>
      <xdr:row>26</xdr:row>
      <xdr:rowOff>13047</xdr:rowOff>
    </xdr:from>
    <xdr:to>
      <xdr:col>8</xdr:col>
      <xdr:colOff>221817</xdr:colOff>
      <xdr:row>27</xdr:row>
      <xdr:rowOff>91335</xdr:rowOff>
    </xdr:to>
    <xdr:sp macro="" textlink="'pivot tables'!F61">
      <xdr:nvSpPr>
        <xdr:cNvPr id="46" name="Rectangle: Rounded Corners 45">
          <a:extLst>
            <a:ext uri="{FF2B5EF4-FFF2-40B4-BE49-F238E27FC236}">
              <a16:creationId xmlns:a16="http://schemas.microsoft.com/office/drawing/2014/main" id="{87277673-880C-4B63-AE9C-2363CADA12E8}"/>
            </a:ext>
          </a:extLst>
        </xdr:cNvPr>
        <xdr:cNvSpPr/>
      </xdr:nvSpPr>
      <xdr:spPr>
        <a:xfrm>
          <a:off x="3770858" y="5101746"/>
          <a:ext cx="1356986" cy="2740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4FEBB1F-C01B-4C99-BCDD-8E561156564E}" type="TxLink">
            <a:rPr lang="en-US" sz="1200" b="1" i="0" u="none" strike="noStrike">
              <a:solidFill>
                <a:srgbClr val="000000"/>
              </a:solidFill>
              <a:latin typeface="Aptos Narrow"/>
            </a:rPr>
            <a:pPr algn="ctr"/>
            <a:t> 11,87,31,893 </a:t>
          </a:fld>
          <a:endParaRPr lang="en-IN" sz="1400" b="1">
            <a:solidFill>
              <a:schemeClr val="accent5">
                <a:lumMod val="60000"/>
                <a:lumOff val="40000"/>
              </a:schemeClr>
            </a:solidFill>
          </a:endParaRPr>
        </a:p>
      </xdr:txBody>
    </xdr:sp>
    <xdr:clientData/>
  </xdr:twoCellAnchor>
  <xdr:twoCellAnchor>
    <xdr:from>
      <xdr:col>4</xdr:col>
      <xdr:colOff>130479</xdr:colOff>
      <xdr:row>3</xdr:row>
      <xdr:rowOff>39142</xdr:rowOff>
    </xdr:from>
    <xdr:to>
      <xdr:col>22</xdr:col>
      <xdr:colOff>456678</xdr:colOff>
      <xdr:row>7</xdr:row>
      <xdr:rowOff>65239</xdr:rowOff>
    </xdr:to>
    <xdr:sp macro="" textlink="">
      <xdr:nvSpPr>
        <xdr:cNvPr id="4" name="Rectangle: Rounded Corners 3">
          <a:extLst>
            <a:ext uri="{FF2B5EF4-FFF2-40B4-BE49-F238E27FC236}">
              <a16:creationId xmlns:a16="http://schemas.microsoft.com/office/drawing/2014/main" id="{71A04C80-217F-EA80-9531-C8AE71C18716}"/>
            </a:ext>
          </a:extLst>
        </xdr:cNvPr>
        <xdr:cNvSpPr/>
      </xdr:nvSpPr>
      <xdr:spPr>
        <a:xfrm>
          <a:off x="2583493" y="626300"/>
          <a:ext cx="11547432" cy="8089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                                            </a:t>
          </a:r>
          <a:r>
            <a:rPr lang="en-IN" sz="3600" b="1">
              <a:solidFill>
                <a:schemeClr val="bg1"/>
              </a:solidFill>
            </a:rPr>
            <a:t>Sales Analysis Dash</a:t>
          </a:r>
          <a:r>
            <a:rPr lang="en-IN" sz="3600" b="1" baseline="0">
              <a:solidFill>
                <a:schemeClr val="bg1"/>
              </a:solidFill>
            </a:rPr>
            <a:t> Board</a:t>
          </a:r>
          <a:r>
            <a:rPr lang="en-IN" sz="3600" b="1">
              <a:solidFill>
                <a:schemeClr val="bg1"/>
              </a:solidFill>
            </a:rPr>
            <a:t> </a:t>
          </a:r>
          <a:endParaRPr lang="en-IN" sz="1100">
            <a:solidFill>
              <a:schemeClr val="bg1"/>
            </a:solidFill>
          </a:endParaRPr>
        </a:p>
      </xdr:txBody>
    </xdr:sp>
    <xdr:clientData/>
  </xdr:twoCellAnchor>
  <xdr:twoCellAnchor editAs="oneCell">
    <xdr:from>
      <xdr:col>4</xdr:col>
      <xdr:colOff>274006</xdr:colOff>
      <xdr:row>3</xdr:row>
      <xdr:rowOff>78287</xdr:rowOff>
    </xdr:from>
    <xdr:to>
      <xdr:col>5</xdr:col>
      <xdr:colOff>417612</xdr:colOff>
      <xdr:row>7</xdr:row>
      <xdr:rowOff>52196</xdr:rowOff>
    </xdr:to>
    <xdr:pic>
      <xdr:nvPicPr>
        <xdr:cNvPr id="6" name="Picture 5">
          <a:extLst>
            <a:ext uri="{FF2B5EF4-FFF2-40B4-BE49-F238E27FC236}">
              <a16:creationId xmlns:a16="http://schemas.microsoft.com/office/drawing/2014/main" id="{1C1D4A3D-1738-DD7B-76D3-007BC9C4AFC6}"/>
            </a:ext>
          </a:extLst>
        </xdr:cNvPr>
        <xdr:cNvPicPr>
          <a:picLocks noChangeAspect="1"/>
        </xdr:cNvPicPr>
      </xdr:nvPicPr>
      <xdr:blipFill>
        <a:blip xmlns:r="http://schemas.openxmlformats.org/officeDocument/2006/relationships" r:embed="rId10"/>
        <a:stretch>
          <a:fillRect/>
        </a:stretch>
      </xdr:blipFill>
      <xdr:spPr>
        <a:xfrm>
          <a:off x="2727020" y="665445"/>
          <a:ext cx="756859" cy="756785"/>
        </a:xfrm>
        <a:prstGeom prst="rect">
          <a:avLst/>
        </a:prstGeom>
      </xdr:spPr>
    </xdr:pic>
    <xdr:clientData/>
  </xdr:twoCellAnchor>
  <xdr:twoCellAnchor>
    <xdr:from>
      <xdr:col>17</xdr:col>
      <xdr:colOff>456680</xdr:colOff>
      <xdr:row>4</xdr:row>
      <xdr:rowOff>13048</xdr:rowOff>
    </xdr:from>
    <xdr:to>
      <xdr:col>22</xdr:col>
      <xdr:colOff>339246</xdr:colOff>
      <xdr:row>6</xdr:row>
      <xdr:rowOff>91335</xdr:rowOff>
    </xdr:to>
    <xdr:sp macro="" textlink="">
      <xdr:nvSpPr>
        <xdr:cNvPr id="8" name="Rectangle 7">
          <a:extLst>
            <a:ext uri="{FF2B5EF4-FFF2-40B4-BE49-F238E27FC236}">
              <a16:creationId xmlns:a16="http://schemas.microsoft.com/office/drawing/2014/main" id="{DF628F5E-C1C0-8E24-66F6-A637C6347635}"/>
            </a:ext>
          </a:extLst>
        </xdr:cNvPr>
        <xdr:cNvSpPr/>
      </xdr:nvSpPr>
      <xdr:spPr>
        <a:xfrm>
          <a:off x="11064659" y="795925"/>
          <a:ext cx="2948834" cy="4697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ysClr val="windowText" lastClr="000000"/>
              </a:solidFill>
            </a:rPr>
            <a:t> by: Chennaboina</a:t>
          </a:r>
          <a:r>
            <a:rPr lang="en-IN" sz="2000" b="1" baseline="0">
              <a:solidFill>
                <a:sysClr val="windowText" lastClr="000000"/>
              </a:solidFill>
            </a:rPr>
            <a:t> Bhavani</a:t>
          </a:r>
          <a:endParaRPr lang="en-IN" sz="24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561062</xdr:colOff>
      <xdr:row>2</xdr:row>
      <xdr:rowOff>91336</xdr:rowOff>
    </xdr:from>
    <xdr:to>
      <xdr:col>23</xdr:col>
      <xdr:colOff>88510</xdr:colOff>
      <xdr:row>46</xdr:row>
      <xdr:rowOff>182671</xdr:rowOff>
    </xdr:to>
    <xdr:sp macro="" textlink="">
      <xdr:nvSpPr>
        <xdr:cNvPr id="2" name="Rectangle: Rounded Corners 1">
          <a:extLst>
            <a:ext uri="{FF2B5EF4-FFF2-40B4-BE49-F238E27FC236}">
              <a16:creationId xmlns:a16="http://schemas.microsoft.com/office/drawing/2014/main" id="{3D18F354-2BD4-4F35-91A1-475A53557ADF}"/>
            </a:ext>
          </a:extLst>
        </xdr:cNvPr>
        <xdr:cNvSpPr/>
      </xdr:nvSpPr>
      <xdr:spPr>
        <a:xfrm>
          <a:off x="561062" y="482774"/>
          <a:ext cx="13814948" cy="8702979"/>
        </a:xfrm>
        <a:prstGeom prst="roundRect">
          <a:avLst>
            <a:gd name="adj" fmla="val 105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3</xdr:col>
      <xdr:colOff>587157</xdr:colOff>
      <xdr:row>3</xdr:row>
      <xdr:rowOff>39144</xdr:rowOff>
    </xdr:from>
    <xdr:to>
      <xdr:col>22</xdr:col>
      <xdr:colOff>443765</xdr:colOff>
      <xdr:row>46</xdr:row>
      <xdr:rowOff>13048</xdr:rowOff>
    </xdr:to>
    <xdr:sp macro="" textlink="">
      <xdr:nvSpPr>
        <xdr:cNvPr id="3" name="Rectangle: Rounded Corners 2">
          <a:extLst>
            <a:ext uri="{FF2B5EF4-FFF2-40B4-BE49-F238E27FC236}">
              <a16:creationId xmlns:a16="http://schemas.microsoft.com/office/drawing/2014/main" id="{78C3B9BA-C007-44FA-B67B-3A8668E05C5D}"/>
            </a:ext>
          </a:extLst>
        </xdr:cNvPr>
        <xdr:cNvSpPr/>
      </xdr:nvSpPr>
      <xdr:spPr>
        <a:xfrm>
          <a:off x="2426917" y="626302"/>
          <a:ext cx="11691095" cy="8389828"/>
        </a:xfrm>
        <a:prstGeom prst="roundRect">
          <a:avLst>
            <a:gd name="adj" fmla="val 4989"/>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502951</xdr:colOff>
      <xdr:row>15</xdr:row>
      <xdr:rowOff>192491</xdr:rowOff>
    </xdr:from>
    <xdr:to>
      <xdr:col>6</xdr:col>
      <xdr:colOff>195283</xdr:colOff>
      <xdr:row>18</xdr:row>
      <xdr:rowOff>182670</xdr:rowOff>
    </xdr:to>
    <xdr:pic>
      <xdr:nvPicPr>
        <xdr:cNvPr id="4" name="Graphic 3" descr="Bar chart with solid fill">
          <a:extLst>
            <a:ext uri="{FF2B5EF4-FFF2-40B4-BE49-F238E27FC236}">
              <a16:creationId xmlns:a16="http://schemas.microsoft.com/office/drawing/2014/main" id="{B7949A5C-9D43-4DB4-8CCF-57A5539B2A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55965" y="3128279"/>
          <a:ext cx="918839" cy="577336"/>
        </a:xfrm>
        <a:prstGeom prst="rect">
          <a:avLst/>
        </a:prstGeom>
      </xdr:spPr>
    </xdr:pic>
    <xdr:clientData/>
  </xdr:twoCellAnchor>
  <xdr:twoCellAnchor>
    <xdr:from>
      <xdr:col>6</xdr:col>
      <xdr:colOff>373144</xdr:colOff>
      <xdr:row>16</xdr:row>
      <xdr:rowOff>104383</xdr:rowOff>
    </xdr:from>
    <xdr:to>
      <xdr:col>8</xdr:col>
      <xdr:colOff>333866</xdr:colOff>
      <xdr:row>18</xdr:row>
      <xdr:rowOff>130479</xdr:rowOff>
    </xdr:to>
    <xdr:sp macro="" textlink="">
      <xdr:nvSpPr>
        <xdr:cNvPr id="5" name="Rectangle 4">
          <a:extLst>
            <a:ext uri="{FF2B5EF4-FFF2-40B4-BE49-F238E27FC236}">
              <a16:creationId xmlns:a16="http://schemas.microsoft.com/office/drawing/2014/main" id="{32CE5E3D-0E90-49D0-AD4D-7F4B5CDEFC44}"/>
            </a:ext>
          </a:extLst>
        </xdr:cNvPr>
        <xdr:cNvSpPr/>
      </xdr:nvSpPr>
      <xdr:spPr>
        <a:xfrm>
          <a:off x="4052665" y="3235890"/>
          <a:ext cx="1187228" cy="41753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ysClr val="windowText" lastClr="000000"/>
              </a:solidFill>
            </a:rPr>
            <a:t>Analytics</a:t>
          </a:r>
        </a:p>
      </xdr:txBody>
    </xdr:sp>
    <xdr:clientData/>
  </xdr:twoCellAnchor>
  <xdr:twoCellAnchor>
    <xdr:from>
      <xdr:col>4</xdr:col>
      <xdr:colOff>247911</xdr:colOff>
      <xdr:row>20</xdr:row>
      <xdr:rowOff>26095</xdr:rowOff>
    </xdr:from>
    <xdr:to>
      <xdr:col>13</xdr:col>
      <xdr:colOff>195718</xdr:colOff>
      <xdr:row>39</xdr:row>
      <xdr:rowOff>65240</xdr:rowOff>
    </xdr:to>
    <xdr:sp macro="" textlink="">
      <xdr:nvSpPr>
        <xdr:cNvPr id="9" name="Rectangle 8">
          <a:extLst>
            <a:ext uri="{FF2B5EF4-FFF2-40B4-BE49-F238E27FC236}">
              <a16:creationId xmlns:a16="http://schemas.microsoft.com/office/drawing/2014/main" id="{300C89DE-1CB9-4E88-B722-4397DB0DACF6}"/>
            </a:ext>
          </a:extLst>
        </xdr:cNvPr>
        <xdr:cNvSpPr/>
      </xdr:nvSpPr>
      <xdr:spPr>
        <a:xfrm>
          <a:off x="2700925" y="3940479"/>
          <a:ext cx="5649759" cy="37578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341262</xdr:colOff>
      <xdr:row>15</xdr:row>
      <xdr:rowOff>182669</xdr:rowOff>
    </xdr:from>
    <xdr:to>
      <xdr:col>22</xdr:col>
      <xdr:colOff>339245</xdr:colOff>
      <xdr:row>29</xdr:row>
      <xdr:rowOff>13048</xdr:rowOff>
    </xdr:to>
    <xdr:sp macro="" textlink="">
      <xdr:nvSpPr>
        <xdr:cNvPr id="10" name="Rectangle 9">
          <a:extLst>
            <a:ext uri="{FF2B5EF4-FFF2-40B4-BE49-F238E27FC236}">
              <a16:creationId xmlns:a16="http://schemas.microsoft.com/office/drawing/2014/main" id="{FFE5A515-37C6-42C7-B87C-D34299A9A299}"/>
            </a:ext>
          </a:extLst>
        </xdr:cNvPr>
        <xdr:cNvSpPr/>
      </xdr:nvSpPr>
      <xdr:spPr>
        <a:xfrm>
          <a:off x="8496228" y="3118457"/>
          <a:ext cx="5517264" cy="257044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225850</xdr:colOff>
      <xdr:row>11</xdr:row>
      <xdr:rowOff>176751</xdr:rowOff>
    </xdr:from>
    <xdr:to>
      <xdr:col>3</xdr:col>
      <xdr:colOff>481159</xdr:colOff>
      <xdr:row>14</xdr:row>
      <xdr:rowOff>49097</xdr:rowOff>
    </xdr:to>
    <xdr:sp macro="" textlink="">
      <xdr:nvSpPr>
        <xdr:cNvPr id="11" name="Rectangle: Rounded Corners 10">
          <a:extLst>
            <a:ext uri="{FF2B5EF4-FFF2-40B4-BE49-F238E27FC236}">
              <a16:creationId xmlns:a16="http://schemas.microsoft.com/office/drawing/2014/main" id="{05951CE4-1319-4CBF-9BEC-E4E64CD353A5}"/>
            </a:ext>
          </a:extLst>
        </xdr:cNvPr>
        <xdr:cNvSpPr/>
      </xdr:nvSpPr>
      <xdr:spPr>
        <a:xfrm>
          <a:off x="835450" y="2272251"/>
          <a:ext cx="1474509" cy="443846"/>
        </a:xfrm>
        <a:prstGeom prst="roundRect">
          <a:avLst/>
        </a:prstGeom>
        <a:noFill/>
        <a:ln w="19050">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DASHBOARD</a:t>
          </a:r>
          <a:endParaRPr lang="en-IN" sz="1600" b="1">
            <a:solidFill>
              <a:schemeClr val="bg1"/>
            </a:solidFill>
          </a:endParaRPr>
        </a:p>
      </xdr:txBody>
    </xdr:sp>
    <xdr:clientData/>
  </xdr:twoCellAnchor>
  <xdr:twoCellAnchor>
    <xdr:from>
      <xdr:col>1</xdr:col>
      <xdr:colOff>195720</xdr:colOff>
      <xdr:row>17</xdr:row>
      <xdr:rowOff>78555</xdr:rowOff>
    </xdr:from>
    <xdr:to>
      <xdr:col>3</xdr:col>
      <xdr:colOff>471341</xdr:colOff>
      <xdr:row>19</xdr:row>
      <xdr:rowOff>137473</xdr:rowOff>
    </xdr:to>
    <xdr:sp macro="" textlink="">
      <xdr:nvSpPr>
        <xdr:cNvPr id="12" name="Rectangle: Rounded Corners 11">
          <a:extLst>
            <a:ext uri="{FF2B5EF4-FFF2-40B4-BE49-F238E27FC236}">
              <a16:creationId xmlns:a16="http://schemas.microsoft.com/office/drawing/2014/main" id="{923230F7-77C6-43D7-B4E9-B38D437DB1EA}"/>
            </a:ext>
          </a:extLst>
        </xdr:cNvPr>
        <xdr:cNvSpPr/>
      </xdr:nvSpPr>
      <xdr:spPr>
        <a:xfrm>
          <a:off x="805320" y="3317055"/>
          <a:ext cx="1494821" cy="439918"/>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SALES MANS</a:t>
          </a:r>
        </a:p>
      </xdr:txBody>
    </xdr:sp>
    <xdr:clientData/>
  </xdr:twoCellAnchor>
  <xdr:twoCellAnchor>
    <xdr:from>
      <xdr:col>1</xdr:col>
      <xdr:colOff>201499</xdr:colOff>
      <xdr:row>14</xdr:row>
      <xdr:rowOff>122939</xdr:rowOff>
    </xdr:from>
    <xdr:to>
      <xdr:col>3</xdr:col>
      <xdr:colOff>456808</xdr:colOff>
      <xdr:row>16</xdr:row>
      <xdr:rowOff>181856</xdr:rowOff>
    </xdr:to>
    <xdr:sp macro="" textlink="">
      <xdr:nvSpPr>
        <xdr:cNvPr id="13" name="Rectangle: Rounded Corners 12">
          <a:extLst>
            <a:ext uri="{FF2B5EF4-FFF2-40B4-BE49-F238E27FC236}">
              <a16:creationId xmlns:a16="http://schemas.microsoft.com/office/drawing/2014/main" id="{C08F46A3-93FC-4841-93BB-98A9DBF0E9F2}"/>
            </a:ext>
          </a:extLst>
        </xdr:cNvPr>
        <xdr:cNvSpPr/>
      </xdr:nvSpPr>
      <xdr:spPr>
        <a:xfrm>
          <a:off x="811099" y="2789939"/>
          <a:ext cx="1474509" cy="439917"/>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PRODUCTS</a:t>
          </a:r>
          <a:endParaRPr lang="en-IN" sz="1600" b="1">
            <a:solidFill>
              <a:schemeClr val="tx1"/>
            </a:solidFill>
          </a:endParaRPr>
        </a:p>
      </xdr:txBody>
    </xdr:sp>
    <xdr:clientData/>
  </xdr:twoCellAnchor>
  <xdr:twoCellAnchor>
    <xdr:from>
      <xdr:col>1</xdr:col>
      <xdr:colOff>211317</xdr:colOff>
      <xdr:row>20</xdr:row>
      <xdr:rowOff>47612</xdr:rowOff>
    </xdr:from>
    <xdr:to>
      <xdr:col>3</xdr:col>
      <xdr:colOff>466626</xdr:colOff>
      <xdr:row>22</xdr:row>
      <xdr:rowOff>106529</xdr:rowOff>
    </xdr:to>
    <xdr:sp macro="" textlink="">
      <xdr:nvSpPr>
        <xdr:cNvPr id="14" name="Rectangle: Rounded Corners 13">
          <a:extLst>
            <a:ext uri="{FF2B5EF4-FFF2-40B4-BE49-F238E27FC236}">
              <a16:creationId xmlns:a16="http://schemas.microsoft.com/office/drawing/2014/main" id="{E2D37823-03FB-4790-A390-529A4E18E8F6}"/>
            </a:ext>
          </a:extLst>
        </xdr:cNvPr>
        <xdr:cNvSpPr/>
      </xdr:nvSpPr>
      <xdr:spPr>
        <a:xfrm>
          <a:off x="820917" y="3857612"/>
          <a:ext cx="1474509" cy="439917"/>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ABOUT</a:t>
          </a:r>
          <a:endParaRPr lang="en-IN" sz="1600" b="1">
            <a:solidFill>
              <a:schemeClr val="bg1"/>
            </a:solidFill>
          </a:endParaRPr>
        </a:p>
      </xdr:txBody>
    </xdr:sp>
    <xdr:clientData/>
  </xdr:twoCellAnchor>
  <xdr:twoCellAnchor>
    <xdr:from>
      <xdr:col>4</xdr:col>
      <xdr:colOff>339247</xdr:colOff>
      <xdr:row>20</xdr:row>
      <xdr:rowOff>52190</xdr:rowOff>
    </xdr:from>
    <xdr:to>
      <xdr:col>9</xdr:col>
      <xdr:colOff>600206</xdr:colOff>
      <xdr:row>23</xdr:row>
      <xdr:rowOff>143528</xdr:rowOff>
    </xdr:to>
    <xdr:sp macro="" textlink="">
      <xdr:nvSpPr>
        <xdr:cNvPr id="18" name="Rectangle: Rounded Corners 17">
          <a:extLst>
            <a:ext uri="{FF2B5EF4-FFF2-40B4-BE49-F238E27FC236}">
              <a16:creationId xmlns:a16="http://schemas.microsoft.com/office/drawing/2014/main" id="{F92247E0-E5DD-4394-9A4E-9EC2E8C3F99A}"/>
            </a:ext>
          </a:extLst>
        </xdr:cNvPr>
        <xdr:cNvSpPr/>
      </xdr:nvSpPr>
      <xdr:spPr>
        <a:xfrm>
          <a:off x="2792261" y="3966574"/>
          <a:ext cx="3509897" cy="678495"/>
        </a:xfrm>
        <a:prstGeom prst="roundRect">
          <a:avLst>
            <a:gd name="adj" fmla="val 4999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lumMod val="75000"/>
                </a:schemeClr>
              </a:solidFill>
            </a:rPr>
            <a:t>Sales</a:t>
          </a:r>
          <a:r>
            <a:rPr lang="en-IN" sz="1600" b="1" baseline="0">
              <a:solidFill>
                <a:schemeClr val="accent1">
                  <a:lumMod val="75000"/>
                </a:schemeClr>
              </a:solidFill>
            </a:rPr>
            <a:t>  of Products by Quantity</a:t>
          </a:r>
          <a:endParaRPr lang="en-IN" sz="1600" b="1">
            <a:solidFill>
              <a:schemeClr val="accent1">
                <a:lumMod val="75000"/>
              </a:schemeClr>
            </a:solidFill>
          </a:endParaRPr>
        </a:p>
      </xdr:txBody>
    </xdr:sp>
    <xdr:clientData/>
  </xdr:twoCellAnchor>
  <xdr:twoCellAnchor>
    <xdr:from>
      <xdr:col>13</xdr:col>
      <xdr:colOff>417534</xdr:colOff>
      <xdr:row>16</xdr:row>
      <xdr:rowOff>96576</xdr:rowOff>
    </xdr:from>
    <xdr:to>
      <xdr:col>17</xdr:col>
      <xdr:colOff>456678</xdr:colOff>
      <xdr:row>18</xdr:row>
      <xdr:rowOff>78287</xdr:rowOff>
    </xdr:to>
    <xdr:sp macro="" textlink="">
      <xdr:nvSpPr>
        <xdr:cNvPr id="19" name="Rectangle: Rounded Corners 18">
          <a:extLst>
            <a:ext uri="{FF2B5EF4-FFF2-40B4-BE49-F238E27FC236}">
              <a16:creationId xmlns:a16="http://schemas.microsoft.com/office/drawing/2014/main" id="{9EF5A8EA-DC91-4017-B474-129678FB7B45}"/>
            </a:ext>
          </a:extLst>
        </xdr:cNvPr>
        <xdr:cNvSpPr/>
      </xdr:nvSpPr>
      <xdr:spPr>
        <a:xfrm>
          <a:off x="8572500" y="3228083"/>
          <a:ext cx="2492157" cy="37314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lumMod val="75000"/>
                </a:schemeClr>
              </a:solidFill>
            </a:rPr>
            <a:t>Top</a:t>
          </a:r>
          <a:r>
            <a:rPr lang="en-IN" sz="1600" b="1" baseline="0">
              <a:solidFill>
                <a:schemeClr val="accent1">
                  <a:lumMod val="75000"/>
                </a:schemeClr>
              </a:solidFill>
            </a:rPr>
            <a:t> 3 Selling Produtcs</a:t>
          </a:r>
          <a:endParaRPr lang="en-IN" sz="1600" b="1">
            <a:solidFill>
              <a:schemeClr val="accent1">
                <a:lumMod val="75000"/>
              </a:schemeClr>
            </a:solidFill>
          </a:endParaRPr>
        </a:p>
      </xdr:txBody>
    </xdr:sp>
    <xdr:clientData/>
  </xdr:twoCellAnchor>
  <xdr:twoCellAnchor>
    <xdr:from>
      <xdr:col>13</xdr:col>
      <xdr:colOff>352293</xdr:colOff>
      <xdr:row>29</xdr:row>
      <xdr:rowOff>104384</xdr:rowOff>
    </xdr:from>
    <xdr:to>
      <xdr:col>22</xdr:col>
      <xdr:colOff>308576</xdr:colOff>
      <xdr:row>44</xdr:row>
      <xdr:rowOff>104383</xdr:rowOff>
    </xdr:to>
    <xdr:sp macro="" textlink="">
      <xdr:nvSpPr>
        <xdr:cNvPr id="20" name="Rectangle 19">
          <a:extLst>
            <a:ext uri="{FF2B5EF4-FFF2-40B4-BE49-F238E27FC236}">
              <a16:creationId xmlns:a16="http://schemas.microsoft.com/office/drawing/2014/main" id="{028D4A8E-8A14-4194-8450-0DD2FDF24849}"/>
            </a:ext>
          </a:extLst>
        </xdr:cNvPr>
        <xdr:cNvSpPr/>
      </xdr:nvSpPr>
      <xdr:spPr>
        <a:xfrm>
          <a:off x="8507259" y="5780240"/>
          <a:ext cx="5475564" cy="29357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50981</xdr:colOff>
      <xdr:row>29</xdr:row>
      <xdr:rowOff>143529</xdr:rowOff>
    </xdr:from>
    <xdr:to>
      <xdr:col>18</xdr:col>
      <xdr:colOff>234863</xdr:colOff>
      <xdr:row>31</xdr:row>
      <xdr:rowOff>78288</xdr:rowOff>
    </xdr:to>
    <xdr:sp macro="" textlink="">
      <xdr:nvSpPr>
        <xdr:cNvPr id="21" name="Rectangle: Rounded Corners 20">
          <a:extLst>
            <a:ext uri="{FF2B5EF4-FFF2-40B4-BE49-F238E27FC236}">
              <a16:creationId xmlns:a16="http://schemas.microsoft.com/office/drawing/2014/main" id="{B04BB9AB-EC08-48DE-90FD-BA23A9827D88}"/>
            </a:ext>
          </a:extLst>
        </xdr:cNvPr>
        <xdr:cNvSpPr/>
      </xdr:nvSpPr>
      <xdr:spPr>
        <a:xfrm>
          <a:off x="8819200" y="5819385"/>
          <a:ext cx="2636896" cy="32619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solidFill>
                <a:schemeClr val="accent1">
                  <a:lumMod val="75000"/>
                </a:schemeClr>
              </a:solidFill>
            </a:rPr>
            <a:t>Bottom 3 Selling Products</a:t>
          </a:r>
          <a:endParaRPr lang="en-IN" sz="1600" b="1">
            <a:solidFill>
              <a:schemeClr val="accent1">
                <a:lumMod val="75000"/>
              </a:schemeClr>
            </a:solidFill>
          </a:endParaRPr>
        </a:p>
      </xdr:txBody>
    </xdr:sp>
    <xdr:clientData/>
  </xdr:twoCellAnchor>
  <xdr:twoCellAnchor editAs="oneCell">
    <xdr:from>
      <xdr:col>14</xdr:col>
      <xdr:colOff>326199</xdr:colOff>
      <xdr:row>4</xdr:row>
      <xdr:rowOff>147050</xdr:rowOff>
    </xdr:from>
    <xdr:to>
      <xdr:col>22</xdr:col>
      <xdr:colOff>234864</xdr:colOff>
      <xdr:row>10</xdr:row>
      <xdr:rowOff>143527</xdr:rowOff>
    </xdr:to>
    <mc:AlternateContent xmlns:mc="http://schemas.openxmlformats.org/markup-compatibility/2006" xmlns:a14="http://schemas.microsoft.com/office/drawing/2010/main">
      <mc:Choice Requires="a14">
        <xdr:graphicFrame macro="">
          <xdr:nvGraphicFramePr>
            <xdr:cNvPr id="23" name="Place 2">
              <a:extLst>
                <a:ext uri="{FF2B5EF4-FFF2-40B4-BE49-F238E27FC236}">
                  <a16:creationId xmlns:a16="http://schemas.microsoft.com/office/drawing/2014/main" id="{8FF7B682-29EE-40B7-8BFF-7EB6ACEB251D}"/>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9094418" y="929927"/>
              <a:ext cx="4814693" cy="1170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391438</xdr:colOff>
      <xdr:row>4</xdr:row>
      <xdr:rowOff>91336</xdr:rowOff>
    </xdr:from>
    <xdr:to>
      <xdr:col>14</xdr:col>
      <xdr:colOff>195718</xdr:colOff>
      <xdr:row>10</xdr:row>
      <xdr:rowOff>156576</xdr:rowOff>
    </xdr:to>
    <mc:AlternateContent xmlns:mc="http://schemas.openxmlformats.org/markup-compatibility/2006" xmlns:tsle="http://schemas.microsoft.com/office/drawing/2012/timeslicer">
      <mc:Choice Requires="tsle">
        <xdr:graphicFrame macro="">
          <xdr:nvGraphicFramePr>
            <xdr:cNvPr id="25" name="Date 2">
              <a:extLst>
                <a:ext uri="{FF2B5EF4-FFF2-40B4-BE49-F238E27FC236}">
                  <a16:creationId xmlns:a16="http://schemas.microsoft.com/office/drawing/2014/main" id="{4A1C8314-5637-44E5-8E32-C6E0F6BF3ACE}"/>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844452" y="874213"/>
              <a:ext cx="6119485" cy="12395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430581</xdr:colOff>
      <xdr:row>11</xdr:row>
      <xdr:rowOff>91336</xdr:rowOff>
    </xdr:from>
    <xdr:to>
      <xdr:col>22</xdr:col>
      <xdr:colOff>247910</xdr:colOff>
      <xdr:row>15</xdr:row>
      <xdr:rowOff>78288</xdr:rowOff>
    </xdr:to>
    <mc:AlternateContent xmlns:mc="http://schemas.openxmlformats.org/markup-compatibility/2006" xmlns:a14="http://schemas.microsoft.com/office/drawing/2010/main">
      <mc:Choice Requires="a14">
        <xdr:graphicFrame macro="">
          <xdr:nvGraphicFramePr>
            <xdr:cNvPr id="27" name="Products 2">
              <a:extLst>
                <a:ext uri="{FF2B5EF4-FFF2-40B4-BE49-F238E27FC236}">
                  <a16:creationId xmlns:a16="http://schemas.microsoft.com/office/drawing/2014/main" id="{59F094C7-A5DD-4464-9E51-06A391A5E9A0}"/>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2883595" y="2244247"/>
              <a:ext cx="11038562" cy="769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326199</xdr:colOff>
      <xdr:row>24</xdr:row>
      <xdr:rowOff>52192</xdr:rowOff>
    </xdr:from>
    <xdr:to>
      <xdr:col>13</xdr:col>
      <xdr:colOff>104385</xdr:colOff>
      <xdr:row>38</xdr:row>
      <xdr:rowOff>91335</xdr:rowOff>
    </xdr:to>
    <xdr:graphicFrame macro="">
      <xdr:nvGraphicFramePr>
        <xdr:cNvPr id="32" name="Chart 31">
          <a:extLst>
            <a:ext uri="{FF2B5EF4-FFF2-40B4-BE49-F238E27FC236}">
              <a16:creationId xmlns:a16="http://schemas.microsoft.com/office/drawing/2014/main" id="{EC5C0EE8-4142-4853-BAE0-BEB831753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534966</xdr:colOff>
      <xdr:row>19</xdr:row>
      <xdr:rowOff>26094</xdr:rowOff>
    </xdr:from>
    <xdr:to>
      <xdr:col>22</xdr:col>
      <xdr:colOff>26094</xdr:colOff>
      <xdr:row>28</xdr:row>
      <xdr:rowOff>39143</xdr:rowOff>
    </xdr:to>
    <xdr:graphicFrame macro="">
      <xdr:nvGraphicFramePr>
        <xdr:cNvPr id="35" name="Chart 34">
          <a:extLst>
            <a:ext uri="{FF2B5EF4-FFF2-40B4-BE49-F238E27FC236}">
              <a16:creationId xmlns:a16="http://schemas.microsoft.com/office/drawing/2014/main" id="{9CEB3B86-E589-40FD-BB55-8A74B14AC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365343</xdr:colOff>
      <xdr:row>32</xdr:row>
      <xdr:rowOff>42665</xdr:rowOff>
    </xdr:from>
    <xdr:to>
      <xdr:col>22</xdr:col>
      <xdr:colOff>260958</xdr:colOff>
      <xdr:row>43</xdr:row>
      <xdr:rowOff>26096</xdr:rowOff>
    </xdr:to>
    <xdr:graphicFrame macro="">
      <xdr:nvGraphicFramePr>
        <xdr:cNvPr id="36" name="Chart 35">
          <a:extLst>
            <a:ext uri="{FF2B5EF4-FFF2-40B4-BE49-F238E27FC236}">
              <a16:creationId xmlns:a16="http://schemas.microsoft.com/office/drawing/2014/main" id="{E649D83B-726E-4D59-95C9-8E1AC097E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52191</xdr:colOff>
      <xdr:row>2</xdr:row>
      <xdr:rowOff>78288</xdr:rowOff>
    </xdr:from>
    <xdr:to>
      <xdr:col>23</xdr:col>
      <xdr:colOff>365341</xdr:colOff>
      <xdr:row>50</xdr:row>
      <xdr:rowOff>13049</xdr:rowOff>
    </xdr:to>
    <xdr:sp macro="" textlink="">
      <xdr:nvSpPr>
        <xdr:cNvPr id="2" name="Rectangle: Rounded Corners 1">
          <a:extLst>
            <a:ext uri="{FF2B5EF4-FFF2-40B4-BE49-F238E27FC236}">
              <a16:creationId xmlns:a16="http://schemas.microsoft.com/office/drawing/2014/main" id="{5969029E-2569-4C69-B21A-9AAE38157009}"/>
            </a:ext>
          </a:extLst>
        </xdr:cNvPr>
        <xdr:cNvSpPr/>
      </xdr:nvSpPr>
      <xdr:spPr>
        <a:xfrm>
          <a:off x="665444" y="469726"/>
          <a:ext cx="13987397" cy="9329282"/>
        </a:xfrm>
        <a:prstGeom prst="roundRect">
          <a:avLst>
            <a:gd name="adj" fmla="val 105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3</xdr:col>
      <xdr:colOff>587157</xdr:colOff>
      <xdr:row>3</xdr:row>
      <xdr:rowOff>39144</xdr:rowOff>
    </xdr:from>
    <xdr:to>
      <xdr:col>23</xdr:col>
      <xdr:colOff>104384</xdr:colOff>
      <xdr:row>49</xdr:row>
      <xdr:rowOff>26096</xdr:rowOff>
    </xdr:to>
    <xdr:sp macro="" textlink="">
      <xdr:nvSpPr>
        <xdr:cNvPr id="3" name="Rectangle: Rounded Corners 2">
          <a:extLst>
            <a:ext uri="{FF2B5EF4-FFF2-40B4-BE49-F238E27FC236}">
              <a16:creationId xmlns:a16="http://schemas.microsoft.com/office/drawing/2014/main" id="{3A3B2748-0000-4686-B94A-695806B78786}"/>
            </a:ext>
          </a:extLst>
        </xdr:cNvPr>
        <xdr:cNvSpPr/>
      </xdr:nvSpPr>
      <xdr:spPr>
        <a:xfrm>
          <a:off x="2426917" y="626302"/>
          <a:ext cx="11964967" cy="8990034"/>
        </a:xfrm>
        <a:prstGeom prst="roundRect">
          <a:avLst>
            <a:gd name="adj" fmla="val 4989"/>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529047</xdr:colOff>
      <xdr:row>15</xdr:row>
      <xdr:rowOff>35916</xdr:rowOff>
    </xdr:from>
    <xdr:to>
      <xdr:col>6</xdr:col>
      <xdr:colOff>221379</xdr:colOff>
      <xdr:row>18</xdr:row>
      <xdr:rowOff>26095</xdr:rowOff>
    </xdr:to>
    <xdr:pic>
      <xdr:nvPicPr>
        <xdr:cNvPr id="4" name="Graphic 3" descr="Bar chart with solid fill">
          <a:extLst>
            <a:ext uri="{FF2B5EF4-FFF2-40B4-BE49-F238E27FC236}">
              <a16:creationId xmlns:a16="http://schemas.microsoft.com/office/drawing/2014/main" id="{739F1394-9875-4CB5-80CA-6A5119772F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67447" y="2893416"/>
          <a:ext cx="911532" cy="561679"/>
        </a:xfrm>
        <a:prstGeom prst="rect">
          <a:avLst/>
        </a:prstGeom>
      </xdr:spPr>
    </xdr:pic>
    <xdr:clientData/>
  </xdr:twoCellAnchor>
  <xdr:twoCellAnchor>
    <xdr:from>
      <xdr:col>6</xdr:col>
      <xdr:colOff>373144</xdr:colOff>
      <xdr:row>15</xdr:row>
      <xdr:rowOff>147294</xdr:rowOff>
    </xdr:from>
    <xdr:to>
      <xdr:col>8</xdr:col>
      <xdr:colOff>333866</xdr:colOff>
      <xdr:row>18</xdr:row>
      <xdr:rowOff>19639</xdr:rowOff>
    </xdr:to>
    <xdr:sp macro="" textlink="">
      <xdr:nvSpPr>
        <xdr:cNvPr id="5" name="Rectangle 4">
          <a:extLst>
            <a:ext uri="{FF2B5EF4-FFF2-40B4-BE49-F238E27FC236}">
              <a16:creationId xmlns:a16="http://schemas.microsoft.com/office/drawing/2014/main" id="{9E8D41A0-BFB3-4D71-81BC-923A76FA90C9}"/>
            </a:ext>
          </a:extLst>
        </xdr:cNvPr>
        <xdr:cNvSpPr/>
      </xdr:nvSpPr>
      <xdr:spPr>
        <a:xfrm>
          <a:off x="4030744" y="3004794"/>
          <a:ext cx="1179922" cy="4438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ysClr val="windowText" lastClr="000000"/>
              </a:solidFill>
            </a:rPr>
            <a:t>Analytics</a:t>
          </a:r>
        </a:p>
      </xdr:txBody>
    </xdr:sp>
    <xdr:clientData/>
  </xdr:twoCellAnchor>
  <xdr:twoCellAnchor>
    <xdr:from>
      <xdr:col>5</xdr:col>
      <xdr:colOff>46678</xdr:colOff>
      <xdr:row>19</xdr:row>
      <xdr:rowOff>147026</xdr:rowOff>
    </xdr:from>
    <xdr:to>
      <xdr:col>8</xdr:col>
      <xdr:colOff>301987</xdr:colOff>
      <xdr:row>22</xdr:row>
      <xdr:rowOff>186304</xdr:rowOff>
    </xdr:to>
    <xdr:sp macro="" textlink="">
      <xdr:nvSpPr>
        <xdr:cNvPr id="6" name="Rectangle: Rounded Corners 5">
          <a:extLst>
            <a:ext uri="{FF2B5EF4-FFF2-40B4-BE49-F238E27FC236}">
              <a16:creationId xmlns:a16="http://schemas.microsoft.com/office/drawing/2014/main" id="{E709C86C-B733-4B0A-934E-771AF9A7C159}"/>
            </a:ext>
          </a:extLst>
        </xdr:cNvPr>
        <xdr:cNvSpPr/>
      </xdr:nvSpPr>
      <xdr:spPr>
        <a:xfrm>
          <a:off x="3094678" y="3766526"/>
          <a:ext cx="2084109" cy="610778"/>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617288</xdr:colOff>
      <xdr:row>19</xdr:row>
      <xdr:rowOff>114342</xdr:rowOff>
    </xdr:from>
    <xdr:to>
      <xdr:col>13</xdr:col>
      <xdr:colOff>7937</xdr:colOff>
      <xdr:row>22</xdr:row>
      <xdr:rowOff>183078</xdr:rowOff>
    </xdr:to>
    <xdr:sp macro="" textlink="">
      <xdr:nvSpPr>
        <xdr:cNvPr id="7" name="Rectangle: Rounded Corners 6">
          <a:extLst>
            <a:ext uri="{FF2B5EF4-FFF2-40B4-BE49-F238E27FC236}">
              <a16:creationId xmlns:a16="http://schemas.microsoft.com/office/drawing/2014/main" id="{359DA09E-C10A-4D2C-A075-D12A87D7FEAE}"/>
            </a:ext>
          </a:extLst>
        </xdr:cNvPr>
        <xdr:cNvSpPr/>
      </xdr:nvSpPr>
      <xdr:spPr>
        <a:xfrm>
          <a:off x="5494088" y="3733842"/>
          <a:ext cx="2619624" cy="640236"/>
        </a:xfrm>
        <a:prstGeom prst="roundRect">
          <a:avLst>
            <a:gd name="adj" fmla="val 19793"/>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5</xdr:col>
      <xdr:colOff>246297</xdr:colOff>
      <xdr:row>20</xdr:row>
      <xdr:rowOff>3766</xdr:rowOff>
    </xdr:from>
    <xdr:to>
      <xdr:col>8</xdr:col>
      <xdr:colOff>246298</xdr:colOff>
      <xdr:row>22</xdr:row>
      <xdr:rowOff>111111</xdr:rowOff>
    </xdr:to>
    <xdr:sp macro="" textlink="">
      <xdr:nvSpPr>
        <xdr:cNvPr id="8" name="Rectangle: Rounded Corners 7">
          <a:extLst>
            <a:ext uri="{FF2B5EF4-FFF2-40B4-BE49-F238E27FC236}">
              <a16:creationId xmlns:a16="http://schemas.microsoft.com/office/drawing/2014/main" id="{E5B12F72-51C1-44D8-9860-17291F63724B}"/>
            </a:ext>
          </a:extLst>
        </xdr:cNvPr>
        <xdr:cNvSpPr/>
      </xdr:nvSpPr>
      <xdr:spPr>
        <a:xfrm>
          <a:off x="3294297" y="3813766"/>
          <a:ext cx="1828801" cy="48834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5">
                  <a:lumMod val="60000"/>
                  <a:lumOff val="40000"/>
                </a:schemeClr>
              </a:solidFill>
            </a:rPr>
            <a:t>TOTAL AMOUNT</a:t>
          </a:r>
        </a:p>
        <a:p>
          <a:pPr algn="ctr"/>
          <a:r>
            <a:rPr lang="en-IN" sz="1200" b="1">
              <a:solidFill>
                <a:schemeClr val="accent5">
                  <a:lumMod val="60000"/>
                  <a:lumOff val="40000"/>
                </a:schemeClr>
              </a:solidFill>
            </a:rPr>
            <a:t>=</a:t>
          </a:r>
        </a:p>
      </xdr:txBody>
    </xdr:sp>
    <xdr:clientData/>
  </xdr:twoCellAnchor>
  <xdr:twoCellAnchor>
    <xdr:from>
      <xdr:col>4</xdr:col>
      <xdr:colOff>260959</xdr:colOff>
      <xdr:row>24</xdr:row>
      <xdr:rowOff>143528</xdr:rowOff>
    </xdr:from>
    <xdr:to>
      <xdr:col>13</xdr:col>
      <xdr:colOff>26095</xdr:colOff>
      <xdr:row>44</xdr:row>
      <xdr:rowOff>117432</xdr:rowOff>
    </xdr:to>
    <xdr:sp macro="" textlink="">
      <xdr:nvSpPr>
        <xdr:cNvPr id="9" name="Rectangle 8">
          <a:extLst>
            <a:ext uri="{FF2B5EF4-FFF2-40B4-BE49-F238E27FC236}">
              <a16:creationId xmlns:a16="http://schemas.microsoft.com/office/drawing/2014/main" id="{CE5B7C34-BC09-4FFB-9E46-A060FD2F5676}"/>
            </a:ext>
          </a:extLst>
        </xdr:cNvPr>
        <xdr:cNvSpPr/>
      </xdr:nvSpPr>
      <xdr:spPr>
        <a:xfrm>
          <a:off x="2699359" y="4715528"/>
          <a:ext cx="5432511" cy="378390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289071</xdr:colOff>
      <xdr:row>14</xdr:row>
      <xdr:rowOff>169622</xdr:rowOff>
    </xdr:from>
    <xdr:to>
      <xdr:col>22</xdr:col>
      <xdr:colOff>287054</xdr:colOff>
      <xdr:row>27</xdr:row>
      <xdr:rowOff>78285</xdr:rowOff>
    </xdr:to>
    <xdr:sp macro="" textlink="">
      <xdr:nvSpPr>
        <xdr:cNvPr id="10" name="Rectangle 9">
          <a:extLst>
            <a:ext uri="{FF2B5EF4-FFF2-40B4-BE49-F238E27FC236}">
              <a16:creationId xmlns:a16="http://schemas.microsoft.com/office/drawing/2014/main" id="{044CF4F1-DD06-4565-8459-9F45F2B64B64}"/>
            </a:ext>
          </a:extLst>
        </xdr:cNvPr>
        <xdr:cNvSpPr/>
      </xdr:nvSpPr>
      <xdr:spPr>
        <a:xfrm>
          <a:off x="8444037" y="2909690"/>
          <a:ext cx="5517264" cy="245301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199754</xdr:colOff>
      <xdr:row>11</xdr:row>
      <xdr:rowOff>163704</xdr:rowOff>
    </xdr:from>
    <xdr:to>
      <xdr:col>3</xdr:col>
      <xdr:colOff>455063</xdr:colOff>
      <xdr:row>14</xdr:row>
      <xdr:rowOff>36050</xdr:rowOff>
    </xdr:to>
    <xdr:sp macro="" textlink="">
      <xdr:nvSpPr>
        <xdr:cNvPr id="11" name="Rectangle: Rounded Corners 10">
          <a:extLst>
            <a:ext uri="{FF2B5EF4-FFF2-40B4-BE49-F238E27FC236}">
              <a16:creationId xmlns:a16="http://schemas.microsoft.com/office/drawing/2014/main" id="{B289CEC0-2B74-4A45-8517-A9AE0A423197}"/>
            </a:ext>
          </a:extLst>
        </xdr:cNvPr>
        <xdr:cNvSpPr/>
      </xdr:nvSpPr>
      <xdr:spPr>
        <a:xfrm>
          <a:off x="813007" y="2316615"/>
          <a:ext cx="1481816" cy="459503"/>
        </a:xfrm>
        <a:prstGeom prst="roundRect">
          <a:avLst/>
        </a:prstGeom>
        <a:noFill/>
        <a:ln w="19050">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DASHBOARD</a:t>
          </a:r>
          <a:endParaRPr lang="en-IN" sz="1600" b="1">
            <a:solidFill>
              <a:schemeClr val="bg1"/>
            </a:solidFill>
          </a:endParaRPr>
        </a:p>
      </xdr:txBody>
    </xdr:sp>
    <xdr:clientData/>
  </xdr:twoCellAnchor>
  <xdr:twoCellAnchor>
    <xdr:from>
      <xdr:col>1</xdr:col>
      <xdr:colOff>195720</xdr:colOff>
      <xdr:row>17</xdr:row>
      <xdr:rowOff>78555</xdr:rowOff>
    </xdr:from>
    <xdr:to>
      <xdr:col>3</xdr:col>
      <xdr:colOff>471341</xdr:colOff>
      <xdr:row>19</xdr:row>
      <xdr:rowOff>137473</xdr:rowOff>
    </xdr:to>
    <xdr:sp macro="" textlink="">
      <xdr:nvSpPr>
        <xdr:cNvPr id="12" name="Rectangle: Rounded Corners 11">
          <a:extLst>
            <a:ext uri="{FF2B5EF4-FFF2-40B4-BE49-F238E27FC236}">
              <a16:creationId xmlns:a16="http://schemas.microsoft.com/office/drawing/2014/main" id="{77AC6D58-F5C5-41AE-9D99-34BDE5B04AE1}"/>
            </a:ext>
          </a:extLst>
        </xdr:cNvPr>
        <xdr:cNvSpPr/>
      </xdr:nvSpPr>
      <xdr:spPr>
        <a:xfrm>
          <a:off x="805320" y="3317055"/>
          <a:ext cx="1494821" cy="43991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rPr>
            <a:t>SALES MANS</a:t>
          </a:r>
        </a:p>
      </xdr:txBody>
    </xdr:sp>
    <xdr:clientData/>
  </xdr:twoCellAnchor>
  <xdr:twoCellAnchor>
    <xdr:from>
      <xdr:col>1</xdr:col>
      <xdr:colOff>201499</xdr:colOff>
      <xdr:row>14</xdr:row>
      <xdr:rowOff>122939</xdr:rowOff>
    </xdr:from>
    <xdr:to>
      <xdr:col>3</xdr:col>
      <xdr:colOff>456808</xdr:colOff>
      <xdr:row>16</xdr:row>
      <xdr:rowOff>181856</xdr:rowOff>
    </xdr:to>
    <xdr:sp macro="" textlink="">
      <xdr:nvSpPr>
        <xdr:cNvPr id="13" name="Rectangle: Rounded Corners 12">
          <a:extLst>
            <a:ext uri="{FF2B5EF4-FFF2-40B4-BE49-F238E27FC236}">
              <a16:creationId xmlns:a16="http://schemas.microsoft.com/office/drawing/2014/main" id="{ED49C93B-9D5F-40E1-825C-E3416A08FFD6}"/>
            </a:ext>
          </a:extLst>
        </xdr:cNvPr>
        <xdr:cNvSpPr/>
      </xdr:nvSpPr>
      <xdr:spPr>
        <a:xfrm>
          <a:off x="811099" y="2789939"/>
          <a:ext cx="1474509" cy="439917"/>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PRODUCTS</a:t>
          </a:r>
          <a:endParaRPr lang="en-IN" sz="1600" b="1">
            <a:solidFill>
              <a:schemeClr val="bg1"/>
            </a:solidFill>
          </a:endParaRPr>
        </a:p>
      </xdr:txBody>
    </xdr:sp>
    <xdr:clientData/>
  </xdr:twoCellAnchor>
  <xdr:twoCellAnchor>
    <xdr:from>
      <xdr:col>1</xdr:col>
      <xdr:colOff>211317</xdr:colOff>
      <xdr:row>20</xdr:row>
      <xdr:rowOff>47612</xdr:rowOff>
    </xdr:from>
    <xdr:to>
      <xdr:col>3</xdr:col>
      <xdr:colOff>466626</xdr:colOff>
      <xdr:row>22</xdr:row>
      <xdr:rowOff>106529</xdr:rowOff>
    </xdr:to>
    <xdr:sp macro="" textlink="">
      <xdr:nvSpPr>
        <xdr:cNvPr id="14" name="Rectangle: Rounded Corners 13">
          <a:extLst>
            <a:ext uri="{FF2B5EF4-FFF2-40B4-BE49-F238E27FC236}">
              <a16:creationId xmlns:a16="http://schemas.microsoft.com/office/drawing/2014/main" id="{CE2C0382-FEF1-476F-8116-CFCA2B21D58B}"/>
            </a:ext>
          </a:extLst>
        </xdr:cNvPr>
        <xdr:cNvSpPr/>
      </xdr:nvSpPr>
      <xdr:spPr>
        <a:xfrm>
          <a:off x="820917" y="3857612"/>
          <a:ext cx="1474509" cy="439917"/>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ABOUT</a:t>
          </a:r>
          <a:endParaRPr lang="en-IN" sz="1600" b="1">
            <a:solidFill>
              <a:schemeClr val="bg1"/>
            </a:solidFill>
          </a:endParaRPr>
        </a:p>
      </xdr:txBody>
    </xdr:sp>
    <xdr:clientData/>
  </xdr:twoCellAnchor>
  <xdr:twoCellAnchor editAs="oneCell">
    <xdr:from>
      <xdr:col>5</xdr:col>
      <xdr:colOff>425875</xdr:colOff>
      <xdr:row>20</xdr:row>
      <xdr:rowOff>36454</xdr:rowOff>
    </xdr:from>
    <xdr:to>
      <xdr:col>6</xdr:col>
      <xdr:colOff>13451</xdr:colOff>
      <xdr:row>22</xdr:row>
      <xdr:rowOff>101610</xdr:rowOff>
    </xdr:to>
    <xdr:pic>
      <xdr:nvPicPr>
        <xdr:cNvPr id="15" name="Graphic 14" descr="Rupee with solid fill">
          <a:extLst>
            <a:ext uri="{FF2B5EF4-FFF2-40B4-BE49-F238E27FC236}">
              <a16:creationId xmlns:a16="http://schemas.microsoft.com/office/drawing/2014/main" id="{A4B9B46C-2375-4C0F-B1BB-264A1726418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73875" y="3846454"/>
          <a:ext cx="197176" cy="446156"/>
        </a:xfrm>
        <a:prstGeom prst="rect">
          <a:avLst/>
        </a:prstGeom>
      </xdr:spPr>
    </xdr:pic>
    <xdr:clientData/>
  </xdr:twoCellAnchor>
  <xdr:twoCellAnchor>
    <xdr:from>
      <xdr:col>9</xdr:col>
      <xdr:colOff>11294</xdr:colOff>
      <xdr:row>19</xdr:row>
      <xdr:rowOff>192901</xdr:rowOff>
    </xdr:from>
    <xdr:to>
      <xdr:col>12</xdr:col>
      <xdr:colOff>467437</xdr:colOff>
      <xdr:row>22</xdr:row>
      <xdr:rowOff>124164</xdr:rowOff>
    </xdr:to>
    <xdr:sp macro="" textlink="">
      <xdr:nvSpPr>
        <xdr:cNvPr id="16" name="Rectangle: Rounded Corners 15">
          <a:extLst>
            <a:ext uri="{FF2B5EF4-FFF2-40B4-BE49-F238E27FC236}">
              <a16:creationId xmlns:a16="http://schemas.microsoft.com/office/drawing/2014/main" id="{C03EBC9C-D693-4C35-8F63-308D6C290DA3}"/>
            </a:ext>
          </a:extLst>
        </xdr:cNvPr>
        <xdr:cNvSpPr/>
      </xdr:nvSpPr>
      <xdr:spPr>
        <a:xfrm>
          <a:off x="5678669" y="3812401"/>
          <a:ext cx="2284943" cy="502763"/>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5">
                  <a:lumMod val="60000"/>
                  <a:lumOff val="40000"/>
                </a:schemeClr>
              </a:solidFill>
            </a:rPr>
            <a:t>                  </a:t>
          </a:r>
          <a:r>
            <a:rPr lang="en-IN" sz="1400" b="1">
              <a:solidFill>
                <a:schemeClr val="accent2">
                  <a:lumMod val="60000"/>
                  <a:lumOff val="40000"/>
                </a:schemeClr>
              </a:solidFill>
            </a:rPr>
            <a:t>TOTAL SALES</a:t>
          </a:r>
        </a:p>
      </xdr:txBody>
    </xdr:sp>
    <xdr:clientData/>
  </xdr:twoCellAnchor>
  <xdr:twoCellAnchor editAs="oneCell">
    <xdr:from>
      <xdr:col>9</xdr:col>
      <xdr:colOff>110975</xdr:colOff>
      <xdr:row>20</xdr:row>
      <xdr:rowOff>72368</xdr:rowOff>
    </xdr:from>
    <xdr:to>
      <xdr:col>10</xdr:col>
      <xdr:colOff>27980</xdr:colOff>
      <xdr:row>22</xdr:row>
      <xdr:rowOff>130921</xdr:rowOff>
    </xdr:to>
    <xdr:pic>
      <xdr:nvPicPr>
        <xdr:cNvPr id="17" name="Graphic 16" descr="Business Growth with solid fill">
          <a:extLst>
            <a:ext uri="{FF2B5EF4-FFF2-40B4-BE49-F238E27FC236}">
              <a16:creationId xmlns:a16="http://schemas.microsoft.com/office/drawing/2014/main" id="{0ADB24FC-C261-4F05-8651-CF8CB09C600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78350" y="3882368"/>
          <a:ext cx="526605" cy="439553"/>
        </a:xfrm>
        <a:prstGeom prst="rect">
          <a:avLst/>
        </a:prstGeom>
      </xdr:spPr>
    </xdr:pic>
    <xdr:clientData/>
  </xdr:twoCellAnchor>
  <xdr:twoCellAnchor>
    <xdr:from>
      <xdr:col>5</xdr:col>
      <xdr:colOff>26096</xdr:colOff>
      <xdr:row>25</xdr:row>
      <xdr:rowOff>65239</xdr:rowOff>
    </xdr:from>
    <xdr:to>
      <xdr:col>10</xdr:col>
      <xdr:colOff>247911</xdr:colOff>
      <xdr:row>27</xdr:row>
      <xdr:rowOff>117431</xdr:rowOff>
    </xdr:to>
    <xdr:sp macro="" textlink="">
      <xdr:nvSpPr>
        <xdr:cNvPr id="18" name="Rectangle: Rounded Corners 17">
          <a:extLst>
            <a:ext uri="{FF2B5EF4-FFF2-40B4-BE49-F238E27FC236}">
              <a16:creationId xmlns:a16="http://schemas.microsoft.com/office/drawing/2014/main" id="{D01BDAB2-0B67-4BD2-8472-0D93CFE180DC}"/>
            </a:ext>
          </a:extLst>
        </xdr:cNvPr>
        <xdr:cNvSpPr/>
      </xdr:nvSpPr>
      <xdr:spPr>
        <a:xfrm>
          <a:off x="3092363" y="4958218"/>
          <a:ext cx="3470753" cy="443631"/>
        </a:xfrm>
        <a:prstGeom prst="roundRect">
          <a:avLst>
            <a:gd name="adj" fmla="val 5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lumMod val="75000"/>
                </a:schemeClr>
              </a:solidFill>
            </a:rPr>
            <a:t>Total</a:t>
          </a:r>
          <a:r>
            <a:rPr lang="en-IN" sz="1600" b="1" baseline="0">
              <a:solidFill>
                <a:schemeClr val="accent1">
                  <a:lumMod val="75000"/>
                </a:schemeClr>
              </a:solidFill>
            </a:rPr>
            <a:t> sales  mans Performance</a:t>
          </a:r>
          <a:endParaRPr lang="en-IN" sz="1600" b="1">
            <a:solidFill>
              <a:schemeClr val="accent1">
                <a:lumMod val="75000"/>
              </a:schemeClr>
            </a:solidFill>
          </a:endParaRPr>
        </a:p>
      </xdr:txBody>
    </xdr:sp>
    <xdr:clientData/>
  </xdr:twoCellAnchor>
  <xdr:twoCellAnchor>
    <xdr:from>
      <xdr:col>14</xdr:col>
      <xdr:colOff>67119</xdr:colOff>
      <xdr:row>15</xdr:row>
      <xdr:rowOff>57433</xdr:rowOff>
    </xdr:from>
    <xdr:to>
      <xdr:col>17</xdr:col>
      <xdr:colOff>67120</xdr:colOff>
      <xdr:row>17</xdr:row>
      <xdr:rowOff>175267</xdr:rowOff>
    </xdr:to>
    <xdr:sp macro="" textlink="">
      <xdr:nvSpPr>
        <xdr:cNvPr id="19" name="Rectangle: Rounded Corners 18">
          <a:extLst>
            <a:ext uri="{FF2B5EF4-FFF2-40B4-BE49-F238E27FC236}">
              <a16:creationId xmlns:a16="http://schemas.microsoft.com/office/drawing/2014/main" id="{D6D45C47-1232-43C0-B4D9-E60DA87E1960}"/>
            </a:ext>
          </a:extLst>
        </xdr:cNvPr>
        <xdr:cNvSpPr/>
      </xdr:nvSpPr>
      <xdr:spPr>
        <a:xfrm>
          <a:off x="8835338" y="2993221"/>
          <a:ext cx="1839761" cy="50927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solidFill>
                <a:schemeClr val="accent1">
                  <a:lumMod val="75000"/>
                </a:schemeClr>
              </a:solidFill>
            </a:rPr>
            <a:t>Top 3 sales mans</a:t>
          </a:r>
          <a:endParaRPr lang="en-IN" sz="1600" b="1">
            <a:solidFill>
              <a:schemeClr val="accent1">
                <a:lumMod val="75000"/>
              </a:schemeClr>
            </a:solidFill>
          </a:endParaRPr>
        </a:p>
      </xdr:txBody>
    </xdr:sp>
    <xdr:clientData/>
  </xdr:twoCellAnchor>
  <xdr:twoCellAnchor>
    <xdr:from>
      <xdr:col>13</xdr:col>
      <xdr:colOff>339246</xdr:colOff>
      <xdr:row>28</xdr:row>
      <xdr:rowOff>104383</xdr:rowOff>
    </xdr:from>
    <xdr:to>
      <xdr:col>22</xdr:col>
      <xdr:colOff>347721</xdr:colOff>
      <xdr:row>44</xdr:row>
      <xdr:rowOff>78287</xdr:rowOff>
    </xdr:to>
    <xdr:sp macro="" textlink="">
      <xdr:nvSpPr>
        <xdr:cNvPr id="20" name="Rectangle 19">
          <a:extLst>
            <a:ext uri="{FF2B5EF4-FFF2-40B4-BE49-F238E27FC236}">
              <a16:creationId xmlns:a16="http://schemas.microsoft.com/office/drawing/2014/main" id="{14327B27-69A8-44A4-AFCE-9C10DE7E258E}"/>
            </a:ext>
          </a:extLst>
        </xdr:cNvPr>
        <xdr:cNvSpPr/>
      </xdr:nvSpPr>
      <xdr:spPr>
        <a:xfrm>
          <a:off x="8494212" y="5584520"/>
          <a:ext cx="5527756" cy="31054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534965</xdr:colOff>
      <xdr:row>29</xdr:row>
      <xdr:rowOff>13047</xdr:rowOff>
    </xdr:from>
    <xdr:to>
      <xdr:col>18</xdr:col>
      <xdr:colOff>169623</xdr:colOff>
      <xdr:row>31</xdr:row>
      <xdr:rowOff>52189</xdr:rowOff>
    </xdr:to>
    <xdr:sp macro="" textlink="">
      <xdr:nvSpPr>
        <xdr:cNvPr id="21" name="Rectangle: Rounded Corners 20">
          <a:extLst>
            <a:ext uri="{FF2B5EF4-FFF2-40B4-BE49-F238E27FC236}">
              <a16:creationId xmlns:a16="http://schemas.microsoft.com/office/drawing/2014/main" id="{3E6F8AD8-7FA7-4BA6-8FCD-640EC174EB77}"/>
            </a:ext>
          </a:extLst>
        </xdr:cNvPr>
        <xdr:cNvSpPr/>
      </xdr:nvSpPr>
      <xdr:spPr>
        <a:xfrm>
          <a:off x="8689931" y="5688903"/>
          <a:ext cx="2700925" cy="43058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baseline="0">
              <a:solidFill>
                <a:schemeClr val="lt1"/>
              </a:solidFill>
              <a:effectLst/>
              <a:latin typeface="+mn-lt"/>
              <a:ea typeface="+mn-ea"/>
              <a:cs typeface="+mn-cs"/>
            </a:rPr>
            <a:t>Top 3 </a:t>
          </a:r>
          <a:r>
            <a:rPr kumimoji="0" lang="en-IN" sz="1600" b="1" i="0" u="none" strike="noStrike" kern="0" cap="none" spc="0" normalizeH="0" baseline="0" noProof="0">
              <a:ln>
                <a:noFill/>
              </a:ln>
              <a:solidFill>
                <a:srgbClr val="156082">
                  <a:lumMod val="75000"/>
                </a:srgbClr>
              </a:solidFill>
              <a:effectLst/>
              <a:uLnTx/>
              <a:uFillTx/>
              <a:latin typeface="+mn-lt"/>
              <a:ea typeface="+mn-ea"/>
              <a:cs typeface="+mn-cs"/>
            </a:rPr>
            <a:t>Bottom 3 sales mans</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baseline="0">
              <a:solidFill>
                <a:schemeClr val="lt1"/>
              </a:solidFill>
              <a:effectLst/>
              <a:latin typeface="+mn-lt"/>
              <a:ea typeface="+mn-ea"/>
              <a:cs typeface="+mn-cs"/>
            </a:rPr>
            <a:t>sales mans</a:t>
          </a:r>
          <a:endParaRPr lang="en-IN" sz="1600">
            <a:effectLst/>
          </a:endParaRPr>
        </a:p>
        <a:p>
          <a:pPr algn="l"/>
          <a:endParaRPr lang="en-IN" sz="1600" b="1">
            <a:solidFill>
              <a:schemeClr val="accent1">
                <a:lumMod val="75000"/>
              </a:schemeClr>
            </a:solidFill>
          </a:endParaRPr>
        </a:p>
      </xdr:txBody>
    </xdr:sp>
    <xdr:clientData/>
  </xdr:twoCellAnchor>
  <xdr:twoCellAnchor>
    <xdr:from>
      <xdr:col>10</xdr:col>
      <xdr:colOff>247911</xdr:colOff>
      <xdr:row>21</xdr:row>
      <xdr:rowOff>39144</xdr:rowOff>
    </xdr:from>
    <xdr:to>
      <xdr:col>12</xdr:col>
      <xdr:colOff>26096</xdr:colOff>
      <xdr:row>22</xdr:row>
      <xdr:rowOff>117567</xdr:rowOff>
    </xdr:to>
    <xdr:sp macro="" textlink="'pivot tables'!F64">
      <xdr:nvSpPr>
        <xdr:cNvPr id="22" name="Rectangle 21">
          <a:extLst>
            <a:ext uri="{FF2B5EF4-FFF2-40B4-BE49-F238E27FC236}">
              <a16:creationId xmlns:a16="http://schemas.microsoft.com/office/drawing/2014/main" id="{0B01C5F5-359E-4803-BD53-E848C04BE587}"/>
            </a:ext>
          </a:extLst>
        </xdr:cNvPr>
        <xdr:cNvSpPr/>
      </xdr:nvSpPr>
      <xdr:spPr>
        <a:xfrm>
          <a:off x="6524886" y="4039644"/>
          <a:ext cx="997385" cy="26892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7D9CEA8E-EF52-4D46-8F36-7B1D85A84B6B}" type="TxLink">
            <a:rPr lang="en-US" sz="1200" b="1" i="0" u="none" strike="noStrike">
              <a:solidFill>
                <a:srgbClr val="000000"/>
              </a:solidFill>
              <a:latin typeface="Aptos Narrow"/>
            </a:rPr>
            <a:pPr algn="ctr"/>
            <a:t>278</a:t>
          </a:fld>
          <a:endParaRPr lang="en-US" sz="1200" b="1"/>
        </a:p>
      </xdr:txBody>
    </xdr:sp>
    <xdr:clientData/>
  </xdr:twoCellAnchor>
  <xdr:twoCellAnchor editAs="oneCell">
    <xdr:from>
      <xdr:col>14</xdr:col>
      <xdr:colOff>417534</xdr:colOff>
      <xdr:row>4</xdr:row>
      <xdr:rowOff>16570</xdr:rowOff>
    </xdr:from>
    <xdr:to>
      <xdr:col>22</xdr:col>
      <xdr:colOff>326199</xdr:colOff>
      <xdr:row>10</xdr:row>
      <xdr:rowOff>13047</xdr:rowOff>
    </xdr:to>
    <mc:AlternateContent xmlns:mc="http://schemas.openxmlformats.org/markup-compatibility/2006" xmlns:a14="http://schemas.microsoft.com/office/drawing/2010/main">
      <mc:Choice Requires="a14">
        <xdr:graphicFrame macro="">
          <xdr:nvGraphicFramePr>
            <xdr:cNvPr id="23" name="Place 3">
              <a:extLst>
                <a:ext uri="{FF2B5EF4-FFF2-40B4-BE49-F238E27FC236}">
                  <a16:creationId xmlns:a16="http://schemas.microsoft.com/office/drawing/2014/main" id="{31FCB998-9924-42DE-A4F2-EF03A0990EC2}"/>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9185753" y="799447"/>
              <a:ext cx="4814693" cy="1170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521918</xdr:colOff>
      <xdr:row>3</xdr:row>
      <xdr:rowOff>143527</xdr:rowOff>
    </xdr:from>
    <xdr:to>
      <xdr:col>14</xdr:col>
      <xdr:colOff>326198</xdr:colOff>
      <xdr:row>10</xdr:row>
      <xdr:rowOff>13048</xdr:rowOff>
    </xdr:to>
    <mc:AlternateContent xmlns:mc="http://schemas.openxmlformats.org/markup-compatibility/2006" xmlns:tsle="http://schemas.microsoft.com/office/drawing/2012/timeslicer">
      <mc:Choice Requires="tsle">
        <xdr:graphicFrame macro="">
          <xdr:nvGraphicFramePr>
            <xdr:cNvPr id="25" name="Date 3">
              <a:extLst>
                <a:ext uri="{FF2B5EF4-FFF2-40B4-BE49-F238E27FC236}">
                  <a16:creationId xmlns:a16="http://schemas.microsoft.com/office/drawing/2014/main" id="{ACE7B85B-78EC-4147-8644-D2C7FD3A0B5D}"/>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974932" y="730685"/>
              <a:ext cx="6119485" cy="12395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482774</xdr:colOff>
      <xdr:row>10</xdr:row>
      <xdr:rowOff>91336</xdr:rowOff>
    </xdr:from>
    <xdr:to>
      <xdr:col>22</xdr:col>
      <xdr:colOff>300103</xdr:colOff>
      <xdr:row>14</xdr:row>
      <xdr:rowOff>78289</xdr:rowOff>
    </xdr:to>
    <mc:AlternateContent xmlns:mc="http://schemas.openxmlformats.org/markup-compatibility/2006" xmlns:a14="http://schemas.microsoft.com/office/drawing/2010/main">
      <mc:Choice Requires="a14">
        <xdr:graphicFrame macro="">
          <xdr:nvGraphicFramePr>
            <xdr:cNvPr id="27" name="Products 3">
              <a:extLst>
                <a:ext uri="{FF2B5EF4-FFF2-40B4-BE49-F238E27FC236}">
                  <a16:creationId xmlns:a16="http://schemas.microsoft.com/office/drawing/2014/main" id="{2C3A1E4F-42C5-47C3-9934-F5725868C69C}"/>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2935788" y="2048528"/>
              <a:ext cx="11038562" cy="769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587159</xdr:colOff>
      <xdr:row>21</xdr:row>
      <xdr:rowOff>52191</xdr:rowOff>
    </xdr:from>
    <xdr:to>
      <xdr:col>8</xdr:col>
      <xdr:colOff>104385</xdr:colOff>
      <xdr:row>22</xdr:row>
      <xdr:rowOff>130479</xdr:rowOff>
    </xdr:to>
    <xdr:sp macro="" textlink="'pivot tables'!F61">
      <xdr:nvSpPr>
        <xdr:cNvPr id="29" name="Rectangle: Rounded Corners 28">
          <a:extLst>
            <a:ext uri="{FF2B5EF4-FFF2-40B4-BE49-F238E27FC236}">
              <a16:creationId xmlns:a16="http://schemas.microsoft.com/office/drawing/2014/main" id="{67407073-9562-4CBE-A37E-706046A2DC48}"/>
            </a:ext>
          </a:extLst>
        </xdr:cNvPr>
        <xdr:cNvSpPr/>
      </xdr:nvSpPr>
      <xdr:spPr>
        <a:xfrm>
          <a:off x="3635159" y="4052691"/>
          <a:ext cx="1346026" cy="26878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4FEBB1F-C01B-4C99-BCDD-8E561156564E}" type="TxLink">
            <a:rPr lang="en-US" sz="1200" b="1" i="0" u="none" strike="noStrike">
              <a:solidFill>
                <a:srgbClr val="000000"/>
              </a:solidFill>
              <a:latin typeface="Aptos Narrow"/>
            </a:rPr>
            <a:pPr algn="ctr"/>
            <a:t> 11,87,31,893 </a:t>
          </a:fld>
          <a:endParaRPr lang="en-IN" sz="1400" b="1">
            <a:solidFill>
              <a:schemeClr val="accent5">
                <a:lumMod val="60000"/>
                <a:lumOff val="40000"/>
              </a:schemeClr>
            </a:solidFill>
          </a:endParaRPr>
        </a:p>
      </xdr:txBody>
    </xdr:sp>
    <xdr:clientData/>
  </xdr:twoCellAnchor>
  <xdr:twoCellAnchor>
    <xdr:from>
      <xdr:col>13</xdr:col>
      <xdr:colOff>456678</xdr:colOff>
      <xdr:row>17</xdr:row>
      <xdr:rowOff>148744</xdr:rowOff>
    </xdr:from>
    <xdr:to>
      <xdr:col>21</xdr:col>
      <xdr:colOff>365343</xdr:colOff>
      <xdr:row>26</xdr:row>
      <xdr:rowOff>65238</xdr:rowOff>
    </xdr:to>
    <xdr:graphicFrame macro="">
      <xdr:nvGraphicFramePr>
        <xdr:cNvPr id="32" name="Chart 31">
          <a:extLst>
            <a:ext uri="{FF2B5EF4-FFF2-40B4-BE49-F238E27FC236}">
              <a16:creationId xmlns:a16="http://schemas.microsoft.com/office/drawing/2014/main" id="{8D1C82B6-D207-4CBF-A8DC-E25308C1A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548013</xdr:colOff>
      <xdr:row>31</xdr:row>
      <xdr:rowOff>78287</xdr:rowOff>
    </xdr:from>
    <xdr:to>
      <xdr:col>21</xdr:col>
      <xdr:colOff>404486</xdr:colOff>
      <xdr:row>42</xdr:row>
      <xdr:rowOff>169624</xdr:rowOff>
    </xdr:to>
    <xdr:graphicFrame macro="">
      <xdr:nvGraphicFramePr>
        <xdr:cNvPr id="33" name="Chart 32">
          <a:extLst>
            <a:ext uri="{FF2B5EF4-FFF2-40B4-BE49-F238E27FC236}">
              <a16:creationId xmlns:a16="http://schemas.microsoft.com/office/drawing/2014/main" id="{D4FDC95F-9E02-4732-80B3-FCFA898FD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587157</xdr:colOff>
      <xdr:row>28</xdr:row>
      <xdr:rowOff>70459</xdr:rowOff>
    </xdr:from>
    <xdr:to>
      <xdr:col>12</xdr:col>
      <xdr:colOff>300102</xdr:colOff>
      <xdr:row>42</xdr:row>
      <xdr:rowOff>73591</xdr:rowOff>
    </xdr:to>
    <xdr:graphicFrame macro="">
      <xdr:nvGraphicFramePr>
        <xdr:cNvPr id="34" name="Chart 33">
          <a:extLst>
            <a:ext uri="{FF2B5EF4-FFF2-40B4-BE49-F238E27FC236}">
              <a16:creationId xmlns:a16="http://schemas.microsoft.com/office/drawing/2014/main" id="{B972FE55-CCDF-404C-8283-3E830FB40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460038</xdr:colOff>
      <xdr:row>1</xdr:row>
      <xdr:rowOff>72159</xdr:rowOff>
    </xdr:from>
    <xdr:to>
      <xdr:col>24</xdr:col>
      <xdr:colOff>407846</xdr:colOff>
      <xdr:row>44</xdr:row>
      <xdr:rowOff>113280</xdr:rowOff>
    </xdr:to>
    <xdr:sp macro="" textlink="">
      <xdr:nvSpPr>
        <xdr:cNvPr id="2" name="Rectangle: Rounded Corners 1">
          <a:extLst>
            <a:ext uri="{FF2B5EF4-FFF2-40B4-BE49-F238E27FC236}">
              <a16:creationId xmlns:a16="http://schemas.microsoft.com/office/drawing/2014/main" id="{E0B5976E-0855-4F1E-8FA5-B3631F11A88C}"/>
            </a:ext>
          </a:extLst>
        </xdr:cNvPr>
        <xdr:cNvSpPr/>
      </xdr:nvSpPr>
      <xdr:spPr>
        <a:xfrm>
          <a:off x="460038" y="259773"/>
          <a:ext cx="14682694" cy="8108507"/>
        </a:xfrm>
        <a:prstGeom prst="roundRect">
          <a:avLst>
            <a:gd name="adj" fmla="val 105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3</xdr:col>
      <xdr:colOff>473084</xdr:colOff>
      <xdr:row>2</xdr:row>
      <xdr:rowOff>173183</xdr:rowOff>
    </xdr:from>
    <xdr:to>
      <xdr:col>24</xdr:col>
      <xdr:colOff>264318</xdr:colOff>
      <xdr:row>42</xdr:row>
      <xdr:rowOff>107151</xdr:rowOff>
    </xdr:to>
    <xdr:sp macro="" textlink="">
      <xdr:nvSpPr>
        <xdr:cNvPr id="3" name="Rectangle: Rounded Corners 2">
          <a:extLst>
            <a:ext uri="{FF2B5EF4-FFF2-40B4-BE49-F238E27FC236}">
              <a16:creationId xmlns:a16="http://schemas.microsoft.com/office/drawing/2014/main" id="{00BD3A0E-1E58-4A00-AE6D-3E9A3D8A3784}"/>
            </a:ext>
          </a:extLst>
        </xdr:cNvPr>
        <xdr:cNvSpPr/>
      </xdr:nvSpPr>
      <xdr:spPr>
        <a:xfrm>
          <a:off x="2291493" y="548410"/>
          <a:ext cx="12707711" cy="7438514"/>
        </a:xfrm>
        <a:prstGeom prst="roundRect">
          <a:avLst>
            <a:gd name="adj" fmla="val 4989"/>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400"/>
        </a:p>
      </xdr:txBody>
    </xdr:sp>
    <xdr:clientData/>
  </xdr:twoCellAnchor>
  <xdr:twoCellAnchor>
    <xdr:from>
      <xdr:col>6</xdr:col>
      <xdr:colOff>259772</xdr:colOff>
      <xdr:row>8</xdr:row>
      <xdr:rowOff>28864</xdr:rowOff>
    </xdr:from>
    <xdr:to>
      <xdr:col>8</xdr:col>
      <xdr:colOff>692726</xdr:colOff>
      <xdr:row>10</xdr:row>
      <xdr:rowOff>14431</xdr:rowOff>
    </xdr:to>
    <xdr:sp macro="" textlink="">
      <xdr:nvSpPr>
        <xdr:cNvPr id="5" name="Rectangle 4">
          <a:extLst>
            <a:ext uri="{FF2B5EF4-FFF2-40B4-BE49-F238E27FC236}">
              <a16:creationId xmlns:a16="http://schemas.microsoft.com/office/drawing/2014/main" id="{129A06E5-6075-4828-BAC0-6E505626BA00}"/>
            </a:ext>
          </a:extLst>
        </xdr:cNvPr>
        <xdr:cNvSpPr/>
      </xdr:nvSpPr>
      <xdr:spPr>
        <a:xfrm>
          <a:off x="3896590" y="1529773"/>
          <a:ext cx="1645227" cy="3607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ysClr val="windowText" lastClr="000000"/>
              </a:solidFill>
            </a:rPr>
            <a:t>About</a:t>
          </a:r>
        </a:p>
      </xdr:txBody>
    </xdr:sp>
    <xdr:clientData/>
  </xdr:twoCellAnchor>
  <xdr:twoCellAnchor>
    <xdr:from>
      <xdr:col>8</xdr:col>
      <xdr:colOff>287055</xdr:colOff>
      <xdr:row>12</xdr:row>
      <xdr:rowOff>117432</xdr:rowOff>
    </xdr:from>
    <xdr:to>
      <xdr:col>24</xdr:col>
      <xdr:colOff>117431</xdr:colOff>
      <xdr:row>41</xdr:row>
      <xdr:rowOff>0</xdr:rowOff>
    </xdr:to>
    <xdr:sp macro="" textlink="">
      <xdr:nvSpPr>
        <xdr:cNvPr id="9" name="Rectangle 8">
          <a:extLst>
            <a:ext uri="{FF2B5EF4-FFF2-40B4-BE49-F238E27FC236}">
              <a16:creationId xmlns:a16="http://schemas.microsoft.com/office/drawing/2014/main" id="{30177FFB-9EC6-4BFF-9CE2-6508CF706944}"/>
            </a:ext>
          </a:extLst>
        </xdr:cNvPr>
        <xdr:cNvSpPr/>
      </xdr:nvSpPr>
      <xdr:spPr>
        <a:xfrm>
          <a:off x="5193082" y="2466062"/>
          <a:ext cx="9825102" cy="55584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84299</xdr:colOff>
      <xdr:row>17</xdr:row>
      <xdr:rowOff>77113</xdr:rowOff>
    </xdr:from>
    <xdr:to>
      <xdr:col>3</xdr:col>
      <xdr:colOff>339608</xdr:colOff>
      <xdr:row>19</xdr:row>
      <xdr:rowOff>137073</xdr:rowOff>
    </xdr:to>
    <xdr:sp macro="" textlink="">
      <xdr:nvSpPr>
        <xdr:cNvPr id="11" name="Rectangle: Rounded Corners 10">
          <a:extLst>
            <a:ext uri="{FF2B5EF4-FFF2-40B4-BE49-F238E27FC236}">
              <a16:creationId xmlns:a16="http://schemas.microsoft.com/office/drawing/2014/main" id="{D62EB292-8E14-48E1-9FEF-40C7140C60C1}"/>
            </a:ext>
          </a:extLst>
        </xdr:cNvPr>
        <xdr:cNvSpPr/>
      </xdr:nvSpPr>
      <xdr:spPr>
        <a:xfrm>
          <a:off x="690435" y="3266545"/>
          <a:ext cx="1467582" cy="435187"/>
        </a:xfrm>
        <a:prstGeom prst="roundRect">
          <a:avLst/>
        </a:prstGeom>
        <a:noFill/>
        <a:ln w="19050">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DASHBOARD</a:t>
          </a:r>
          <a:endParaRPr lang="en-IN" sz="1600" b="1">
            <a:solidFill>
              <a:schemeClr val="bg1"/>
            </a:solidFill>
          </a:endParaRPr>
        </a:p>
      </xdr:txBody>
    </xdr:sp>
    <xdr:clientData/>
  </xdr:twoCellAnchor>
  <xdr:twoCellAnchor>
    <xdr:from>
      <xdr:col>1</xdr:col>
      <xdr:colOff>57728</xdr:colOff>
      <xdr:row>23</xdr:row>
      <xdr:rowOff>144318</xdr:rowOff>
    </xdr:from>
    <xdr:to>
      <xdr:col>3</xdr:col>
      <xdr:colOff>384750</xdr:colOff>
      <xdr:row>26</xdr:row>
      <xdr:rowOff>72157</xdr:rowOff>
    </xdr:to>
    <xdr:sp macro="" textlink="">
      <xdr:nvSpPr>
        <xdr:cNvPr id="12" name="Rectangle: Rounded Corners 11">
          <a:extLst>
            <a:ext uri="{FF2B5EF4-FFF2-40B4-BE49-F238E27FC236}">
              <a16:creationId xmlns:a16="http://schemas.microsoft.com/office/drawing/2014/main" id="{192EB97B-0B2C-45B6-9A10-0D9720E830C6}"/>
            </a:ext>
          </a:extLst>
        </xdr:cNvPr>
        <xdr:cNvSpPr/>
      </xdr:nvSpPr>
      <xdr:spPr>
        <a:xfrm>
          <a:off x="663864" y="4459432"/>
          <a:ext cx="1539295" cy="49068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SALES MANS</a:t>
          </a:r>
        </a:p>
      </xdr:txBody>
    </xdr:sp>
    <xdr:clientData/>
  </xdr:twoCellAnchor>
  <xdr:twoCellAnchor>
    <xdr:from>
      <xdr:col>1</xdr:col>
      <xdr:colOff>114908</xdr:colOff>
      <xdr:row>20</xdr:row>
      <xdr:rowOff>65212</xdr:rowOff>
    </xdr:from>
    <xdr:to>
      <xdr:col>3</xdr:col>
      <xdr:colOff>370217</xdr:colOff>
      <xdr:row>22</xdr:row>
      <xdr:rowOff>124129</xdr:rowOff>
    </xdr:to>
    <xdr:sp macro="" textlink="">
      <xdr:nvSpPr>
        <xdr:cNvPr id="13" name="Rectangle: Rounded Corners 12">
          <a:extLst>
            <a:ext uri="{FF2B5EF4-FFF2-40B4-BE49-F238E27FC236}">
              <a16:creationId xmlns:a16="http://schemas.microsoft.com/office/drawing/2014/main" id="{540E9943-5914-4A04-917C-2AA53EF0811F}"/>
            </a:ext>
          </a:extLst>
        </xdr:cNvPr>
        <xdr:cNvSpPr/>
      </xdr:nvSpPr>
      <xdr:spPr>
        <a:xfrm>
          <a:off x="721044" y="3817485"/>
          <a:ext cx="1467582" cy="43414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PRODUCTS</a:t>
          </a:r>
          <a:endParaRPr lang="en-IN" sz="1600" b="1">
            <a:solidFill>
              <a:schemeClr val="bg1"/>
            </a:solidFill>
          </a:endParaRPr>
        </a:p>
      </xdr:txBody>
    </xdr:sp>
    <xdr:clientData/>
  </xdr:twoCellAnchor>
  <xdr:twoCellAnchor>
    <xdr:from>
      <xdr:col>1</xdr:col>
      <xdr:colOff>101024</xdr:colOff>
      <xdr:row>27</xdr:row>
      <xdr:rowOff>18749</xdr:rowOff>
    </xdr:from>
    <xdr:to>
      <xdr:col>3</xdr:col>
      <xdr:colOff>380035</xdr:colOff>
      <xdr:row>29</xdr:row>
      <xdr:rowOff>77666</xdr:rowOff>
    </xdr:to>
    <xdr:sp macro="" textlink="">
      <xdr:nvSpPr>
        <xdr:cNvPr id="14" name="Rectangle: Rounded Corners 13">
          <a:extLst>
            <a:ext uri="{FF2B5EF4-FFF2-40B4-BE49-F238E27FC236}">
              <a16:creationId xmlns:a16="http://schemas.microsoft.com/office/drawing/2014/main" id="{5352108C-052A-48C6-87F0-D89A77244652}"/>
            </a:ext>
          </a:extLst>
        </xdr:cNvPr>
        <xdr:cNvSpPr/>
      </xdr:nvSpPr>
      <xdr:spPr>
        <a:xfrm>
          <a:off x="707160" y="5084317"/>
          <a:ext cx="1491284" cy="434144"/>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ysClr val="windowText" lastClr="000000"/>
              </a:solidFill>
            </a:rPr>
            <a:t>ABOUT</a:t>
          </a:r>
          <a:endParaRPr lang="en-IN" sz="1600" b="1">
            <a:solidFill>
              <a:sysClr val="windowText" lastClr="000000"/>
            </a:solidFill>
          </a:endParaRPr>
        </a:p>
      </xdr:txBody>
    </xdr:sp>
    <xdr:clientData/>
  </xdr:twoCellAnchor>
  <xdr:twoCellAnchor editAs="oneCell">
    <xdr:from>
      <xdr:col>4</xdr:col>
      <xdr:colOff>483763</xdr:colOff>
      <xdr:row>5</xdr:row>
      <xdr:rowOff>122967</xdr:rowOff>
    </xdr:from>
    <xdr:to>
      <xdr:col>6</xdr:col>
      <xdr:colOff>178774</xdr:colOff>
      <xdr:row>10</xdr:row>
      <xdr:rowOff>58771</xdr:rowOff>
    </xdr:to>
    <xdr:pic>
      <xdr:nvPicPr>
        <xdr:cNvPr id="31" name="Graphic 30" descr="User with solid fill">
          <a:extLst>
            <a:ext uri="{FF2B5EF4-FFF2-40B4-BE49-F238E27FC236}">
              <a16:creationId xmlns:a16="http://schemas.microsoft.com/office/drawing/2014/main" id="{073DA3AC-6638-241A-BAED-0E6F3F97F8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08308" y="1061035"/>
          <a:ext cx="907284" cy="873872"/>
        </a:xfrm>
        <a:prstGeom prst="rect">
          <a:avLst/>
        </a:prstGeom>
      </xdr:spPr>
    </xdr:pic>
    <xdr:clientData/>
  </xdr:twoCellAnchor>
  <xdr:twoCellAnchor>
    <xdr:from>
      <xdr:col>4</xdr:col>
      <xdr:colOff>460235</xdr:colOff>
      <xdr:row>16</xdr:row>
      <xdr:rowOff>169624</xdr:rowOff>
    </xdr:from>
    <xdr:to>
      <xdr:col>7</xdr:col>
      <xdr:colOff>49817</xdr:colOff>
      <xdr:row>19</xdr:row>
      <xdr:rowOff>174842</xdr:rowOff>
    </xdr:to>
    <xdr:sp macro="" textlink="'pivot tables'!F148">
      <xdr:nvSpPr>
        <xdr:cNvPr id="4" name="Rectangle: Rounded Corners 3">
          <a:extLst>
            <a:ext uri="{FF2B5EF4-FFF2-40B4-BE49-F238E27FC236}">
              <a16:creationId xmlns:a16="http://schemas.microsoft.com/office/drawing/2014/main" id="{A3C8F2FD-0798-3E24-1416-1169E61DE103}"/>
            </a:ext>
          </a:extLst>
        </xdr:cNvPr>
        <xdr:cNvSpPr/>
      </xdr:nvSpPr>
      <xdr:spPr>
        <a:xfrm>
          <a:off x="2884780" y="3171442"/>
          <a:ext cx="1407992" cy="568059"/>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56809E1-A510-4971-BA5B-FBDBCD770DDC}" type="TxLink">
            <a:rPr lang="en-US" sz="2400" b="1" i="0" u="none" strike="noStrike">
              <a:solidFill>
                <a:srgbClr val="000000"/>
              </a:solidFill>
              <a:latin typeface="Aptos Narrow"/>
            </a:rPr>
            <a:pPr algn="l"/>
            <a:t>278</a:t>
          </a:fld>
          <a:endParaRPr lang="en-IN" sz="2400" b="1"/>
        </a:p>
      </xdr:txBody>
    </xdr:sp>
    <xdr:clientData/>
  </xdr:twoCellAnchor>
  <xdr:twoCellAnchor>
    <xdr:from>
      <xdr:col>4</xdr:col>
      <xdr:colOff>472493</xdr:colOff>
      <xdr:row>22</xdr:row>
      <xdr:rowOff>50648</xdr:rowOff>
    </xdr:from>
    <xdr:to>
      <xdr:col>7</xdr:col>
      <xdr:colOff>68006</xdr:colOff>
      <xdr:row>24</xdr:row>
      <xdr:rowOff>146927</xdr:rowOff>
    </xdr:to>
    <xdr:sp macro="" textlink="'pivot tables'!G148">
      <xdr:nvSpPr>
        <xdr:cNvPr id="7" name="Rectangle: Rounded Corners 6">
          <a:extLst>
            <a:ext uri="{FF2B5EF4-FFF2-40B4-BE49-F238E27FC236}">
              <a16:creationId xmlns:a16="http://schemas.microsoft.com/office/drawing/2014/main" id="{1FC18D06-B88F-4C01-94EB-BE5030302306}"/>
            </a:ext>
          </a:extLst>
        </xdr:cNvPr>
        <xdr:cNvSpPr/>
      </xdr:nvSpPr>
      <xdr:spPr>
        <a:xfrm>
          <a:off x="2897038" y="4178148"/>
          <a:ext cx="1413923" cy="47150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4D247AE-52EF-439C-98B0-B8D6DAA486C4}" type="TxLink">
            <a:rPr lang="en-US" sz="2400" b="1" i="0" u="none" strike="noStrike">
              <a:solidFill>
                <a:srgbClr val="000000"/>
              </a:solidFill>
              <a:latin typeface="Aptos Narrow"/>
              <a:ea typeface="+mn-ea"/>
              <a:cs typeface="+mn-cs"/>
            </a:rPr>
            <a:pPr marL="0" indent="0" algn="l"/>
            <a:t>7,670</a:t>
          </a:fld>
          <a:endParaRPr lang="en-IN" sz="2400" b="1" i="0" u="none" strike="noStrike">
            <a:solidFill>
              <a:srgbClr val="000000"/>
            </a:solidFill>
            <a:latin typeface="Aptos Narrow"/>
            <a:ea typeface="+mn-ea"/>
            <a:cs typeface="+mn-cs"/>
          </a:endParaRPr>
        </a:p>
      </xdr:txBody>
    </xdr:sp>
    <xdr:clientData/>
  </xdr:twoCellAnchor>
  <xdr:twoCellAnchor>
    <xdr:from>
      <xdr:col>4</xdr:col>
      <xdr:colOff>362573</xdr:colOff>
      <xdr:row>28</xdr:row>
      <xdr:rowOff>1346</xdr:rowOff>
    </xdr:from>
    <xdr:to>
      <xdr:col>7</xdr:col>
      <xdr:colOff>562840</xdr:colOff>
      <xdr:row>30</xdr:row>
      <xdr:rowOff>159343</xdr:rowOff>
    </xdr:to>
    <xdr:sp macro="" textlink="'pivot tables'!H148">
      <xdr:nvSpPr>
        <xdr:cNvPr id="8" name="Rectangle: Rounded Corners 7">
          <a:extLst>
            <a:ext uri="{FF2B5EF4-FFF2-40B4-BE49-F238E27FC236}">
              <a16:creationId xmlns:a16="http://schemas.microsoft.com/office/drawing/2014/main" id="{F81FEF16-AF2C-4962-BD3C-2A38E36AF056}"/>
            </a:ext>
          </a:extLst>
        </xdr:cNvPr>
        <xdr:cNvSpPr/>
      </xdr:nvSpPr>
      <xdr:spPr>
        <a:xfrm>
          <a:off x="2787118" y="5254528"/>
          <a:ext cx="2018677" cy="5332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86C9BF8-C063-4FE6-88C7-BAF0D8B81AF8}" type="TxLink">
            <a:rPr lang="en-US" sz="2400" b="1" i="0" u="none" strike="noStrike">
              <a:solidFill>
                <a:srgbClr val="000000"/>
              </a:solidFill>
              <a:latin typeface="Aptos Narrow"/>
              <a:ea typeface="+mn-ea"/>
              <a:cs typeface="+mn-cs"/>
            </a:rPr>
            <a:pPr marL="0" indent="0" algn="l"/>
            <a:t>11,87,31,893</a:t>
          </a:fld>
          <a:endParaRPr lang="en-IN" sz="2400" b="1" i="0" u="none" strike="noStrike">
            <a:solidFill>
              <a:srgbClr val="000000"/>
            </a:solidFill>
            <a:latin typeface="Aptos Narrow"/>
            <a:ea typeface="+mn-ea"/>
            <a:cs typeface="+mn-cs"/>
          </a:endParaRPr>
        </a:p>
      </xdr:txBody>
    </xdr:sp>
    <xdr:clientData/>
  </xdr:twoCellAnchor>
  <xdr:twoCellAnchor>
    <xdr:from>
      <xdr:col>4</xdr:col>
      <xdr:colOff>104383</xdr:colOff>
      <xdr:row>14</xdr:row>
      <xdr:rowOff>86591</xdr:rowOff>
    </xdr:from>
    <xdr:to>
      <xdr:col>6</xdr:col>
      <xdr:colOff>404777</xdr:colOff>
      <xdr:row>17</xdr:row>
      <xdr:rowOff>0</xdr:rowOff>
    </xdr:to>
    <xdr:sp macro="" textlink="">
      <xdr:nvSpPr>
        <xdr:cNvPr id="16" name="Rectangle 15">
          <a:extLst>
            <a:ext uri="{FF2B5EF4-FFF2-40B4-BE49-F238E27FC236}">
              <a16:creationId xmlns:a16="http://schemas.microsoft.com/office/drawing/2014/main" id="{92DF1F25-5B7C-C0D6-F61D-58510F5F0E1A}"/>
            </a:ext>
          </a:extLst>
        </xdr:cNvPr>
        <xdr:cNvSpPr/>
      </xdr:nvSpPr>
      <xdr:spPr>
        <a:xfrm>
          <a:off x="2528928" y="2713182"/>
          <a:ext cx="1512667" cy="4762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0" cap="none" spc="0">
              <a:ln w="0"/>
              <a:solidFill>
                <a:schemeClr val="accent1"/>
              </a:solidFill>
              <a:effectLst>
                <a:outerShdw blurRad="38100" dist="25400" dir="5400000" algn="ctr" rotWithShape="0">
                  <a:srgbClr val="6E747A">
                    <a:alpha val="43000"/>
                  </a:srgbClr>
                </a:outerShdw>
              </a:effectLst>
            </a:rPr>
            <a:t>🛒Orders</a:t>
          </a:r>
          <a:endParaRPr lang="en-IN"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4</xdr:col>
      <xdr:colOff>96871</xdr:colOff>
      <xdr:row>19</xdr:row>
      <xdr:rowOff>160727</xdr:rowOff>
    </xdr:from>
    <xdr:to>
      <xdr:col>7</xdr:col>
      <xdr:colOff>462505</xdr:colOff>
      <xdr:row>22</xdr:row>
      <xdr:rowOff>35742</xdr:rowOff>
    </xdr:to>
    <xdr:sp macro="" textlink="">
      <xdr:nvSpPr>
        <xdr:cNvPr id="17" name="Rectangle 16">
          <a:extLst>
            <a:ext uri="{FF2B5EF4-FFF2-40B4-BE49-F238E27FC236}">
              <a16:creationId xmlns:a16="http://schemas.microsoft.com/office/drawing/2014/main" id="{E8A567B7-7617-4A38-B18E-2C593B030102}"/>
            </a:ext>
          </a:extLst>
        </xdr:cNvPr>
        <xdr:cNvSpPr/>
      </xdr:nvSpPr>
      <xdr:spPr>
        <a:xfrm>
          <a:off x="2521416" y="3725386"/>
          <a:ext cx="2184044" cy="437856"/>
        </a:xfrm>
        <a:prstGeom prst="rect">
          <a:avLst/>
        </a:prstGeom>
        <a:solidFill>
          <a:schemeClr val="accent1">
            <a:lumMod val="20000"/>
            <a:lumOff val="8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IN" sz="2400" b="0" cap="none" spc="0">
              <a:ln w="0"/>
              <a:solidFill>
                <a:schemeClr val="accent1"/>
              </a:solidFill>
              <a:effectLst>
                <a:outerShdw blurRad="38100" dist="25400" dir="5400000" algn="ctr" rotWithShape="0">
                  <a:srgbClr val="6E747A">
                    <a:alpha val="43000"/>
                  </a:srgbClr>
                </a:outerShdw>
              </a:effectLst>
              <a:latin typeface="+mn-lt"/>
              <a:ea typeface="+mn-ea"/>
              <a:cs typeface="+mn-cs"/>
            </a:rPr>
            <a:t>✨Units</a:t>
          </a:r>
        </a:p>
      </xdr:txBody>
    </xdr:sp>
    <xdr:clientData/>
  </xdr:twoCellAnchor>
  <xdr:twoCellAnchor>
    <xdr:from>
      <xdr:col>3</xdr:col>
      <xdr:colOff>588935</xdr:colOff>
      <xdr:row>25</xdr:row>
      <xdr:rowOff>93627</xdr:rowOff>
    </xdr:from>
    <xdr:to>
      <xdr:col>7</xdr:col>
      <xdr:colOff>588935</xdr:colOff>
      <xdr:row>27</xdr:row>
      <xdr:rowOff>155982</xdr:rowOff>
    </xdr:to>
    <xdr:sp macro="" textlink="">
      <xdr:nvSpPr>
        <xdr:cNvPr id="19" name="Rectangle 18">
          <a:extLst>
            <a:ext uri="{FF2B5EF4-FFF2-40B4-BE49-F238E27FC236}">
              <a16:creationId xmlns:a16="http://schemas.microsoft.com/office/drawing/2014/main" id="{E1EEF682-E9A7-4645-96E1-A5CA3F5105EB}"/>
            </a:ext>
          </a:extLst>
        </xdr:cNvPr>
        <xdr:cNvSpPr/>
      </xdr:nvSpPr>
      <xdr:spPr>
        <a:xfrm>
          <a:off x="2407344" y="4783968"/>
          <a:ext cx="2424546" cy="437582"/>
        </a:xfrm>
        <a:prstGeom prst="rect">
          <a:avLst/>
        </a:prstGeom>
        <a:solidFill>
          <a:schemeClr val="accent1">
            <a:lumMod val="20000"/>
            <a:lumOff val="8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IN" sz="2400" b="0" cap="none" spc="0">
              <a:ln w="0"/>
              <a:solidFill>
                <a:schemeClr val="accent1"/>
              </a:solidFill>
              <a:effectLst>
                <a:outerShdw blurRad="38100" dist="25400" dir="5400000" algn="ctr" rotWithShape="0">
                  <a:srgbClr val="6E747A">
                    <a:alpha val="43000"/>
                  </a:srgbClr>
                </a:outerShdw>
              </a:effectLst>
              <a:latin typeface="+mn-lt"/>
              <a:ea typeface="+mn-ea"/>
              <a:cs typeface="+mn-cs"/>
            </a:rPr>
            <a:t>💰Total Amount</a:t>
          </a:r>
        </a:p>
      </xdr:txBody>
    </xdr:sp>
    <xdr:clientData/>
  </xdr:twoCellAnchor>
  <xdr:twoCellAnchor>
    <xdr:from>
      <xdr:col>8</xdr:col>
      <xdr:colOff>587158</xdr:colOff>
      <xdr:row>13</xdr:row>
      <xdr:rowOff>129887</xdr:rowOff>
    </xdr:from>
    <xdr:to>
      <xdr:col>23</xdr:col>
      <xdr:colOff>404486</xdr:colOff>
      <xdr:row>40</xdr:row>
      <xdr:rowOff>13047</xdr:rowOff>
    </xdr:to>
    <xdr:sp macro="" textlink="">
      <xdr:nvSpPr>
        <xdr:cNvPr id="1025" name="Text Box 1">
          <a:extLst>
            <a:ext uri="{FF2B5EF4-FFF2-40B4-BE49-F238E27FC236}">
              <a16:creationId xmlns:a16="http://schemas.microsoft.com/office/drawing/2014/main" id="{CB79DE76-07B1-5FAE-769E-898F61553D36}"/>
            </a:ext>
          </a:extLst>
        </xdr:cNvPr>
        <xdr:cNvSpPr txBox="1">
          <a:spLocks noChangeArrowheads="1"/>
        </xdr:cNvSpPr>
      </xdr:nvSpPr>
      <xdr:spPr bwMode="auto">
        <a:xfrm>
          <a:off x="5436249" y="2568864"/>
          <a:ext cx="9096987" cy="4948728"/>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IN" sz="2000" b="1" i="0" u="none" strike="noStrike" baseline="0">
              <a:solidFill>
                <a:srgbClr val="FF0000"/>
              </a:solidFill>
              <a:latin typeface="Aptos Narrow"/>
            </a:rPr>
            <a:t>1</a:t>
          </a:r>
          <a:r>
            <a:rPr lang="en-IN" sz="2000" b="1" i="0" u="none" strike="noStrike" baseline="0">
              <a:solidFill>
                <a:srgbClr val="000000"/>
              </a:solidFill>
              <a:latin typeface="Aptos Narrow"/>
            </a:rPr>
            <a:t>.This Sales Dashboard is created using Excel to analyze and visualize sales data effectively. </a:t>
          </a:r>
        </a:p>
        <a:p>
          <a:pPr algn="l" rtl="0">
            <a:defRPr sz="1000"/>
          </a:pPr>
          <a:r>
            <a:rPr lang="en-IN" sz="2000" b="1" i="0" u="none" strike="noStrike" baseline="0">
              <a:solidFill>
                <a:srgbClr val="FF0000"/>
              </a:solidFill>
              <a:latin typeface="Aptos Narrow"/>
            </a:rPr>
            <a:t>2</a:t>
          </a:r>
          <a:r>
            <a:rPr lang="en-IN" sz="2000" b="1" i="0" u="none" strike="noStrike" baseline="0">
              <a:solidFill>
                <a:srgbClr val="000000"/>
              </a:solidFill>
              <a:latin typeface="Aptos Narrow"/>
            </a:rPr>
            <a:t>.The dataset includes Date, Sales Persons, Products, Place, Price, Units, and Amount.</a:t>
          </a:r>
        </a:p>
        <a:p>
          <a:pPr algn="l" rtl="0">
            <a:defRPr sz="1000"/>
          </a:pPr>
          <a:r>
            <a:rPr lang="en-IN" sz="2000" b="1" i="0" u="none" strike="noStrike" baseline="0">
              <a:solidFill>
                <a:srgbClr val="FF0000"/>
              </a:solidFill>
              <a:latin typeface="Aptos Narrow"/>
            </a:rPr>
            <a:t>3</a:t>
          </a:r>
          <a:r>
            <a:rPr lang="en-IN" sz="2000" b="1" i="0" u="none" strike="noStrike" baseline="0">
              <a:solidFill>
                <a:srgbClr val="000000"/>
              </a:solidFill>
              <a:latin typeface="Aptos Narrow"/>
            </a:rPr>
            <a:t>.Using Pivot Tables and Charts, the dashboard provides insights such as total sales, product performance, sales trends, and regional analysis.</a:t>
          </a:r>
        </a:p>
        <a:p>
          <a:pPr algn="l" rtl="0">
            <a:defRPr sz="1000"/>
          </a:pPr>
          <a:r>
            <a:rPr lang="en-IN" sz="2000" b="1" i="0" u="none" strike="noStrike" baseline="0">
              <a:solidFill>
                <a:srgbClr val="FF0000"/>
              </a:solidFill>
              <a:latin typeface="Aptos Narrow"/>
            </a:rPr>
            <a:t>4 .</a:t>
          </a:r>
          <a:r>
            <a:rPr lang="en-IN" sz="2000" b="1" i="0" u="none" strike="noStrike" baseline="0">
              <a:solidFill>
                <a:srgbClr val="000000"/>
              </a:solidFill>
              <a:latin typeface="Aptos Narrow"/>
            </a:rPr>
            <a:t>KPI cards like Total Sales, Total Units Sold, and Average Sales help in quick understanding of overall performance.</a:t>
          </a:r>
        </a:p>
        <a:p>
          <a:pPr algn="l" rtl="0">
            <a:defRPr sz="1000"/>
          </a:pPr>
          <a:r>
            <a:rPr lang="en-IN" sz="2000" b="1" i="0" u="none" strike="noStrike" baseline="0">
              <a:solidFill>
                <a:srgbClr val="FF0000"/>
              </a:solidFill>
              <a:latin typeface="Aptos Narrow"/>
            </a:rPr>
            <a:t>5</a:t>
          </a:r>
          <a:r>
            <a:rPr lang="en-IN" sz="2000" b="1" i="0" u="none" strike="noStrike" baseline="0">
              <a:solidFill>
                <a:srgbClr val="000000"/>
              </a:solidFill>
              <a:latin typeface="Aptos Narrow"/>
            </a:rPr>
            <a:t>.Interactive slicers are used to filter data based on Product, Place, and Date, making the dashboard dynamic and user-friendly.</a:t>
          </a:r>
        </a:p>
        <a:p>
          <a:pPr algn="l" rtl="0">
            <a:defRPr sz="1000"/>
          </a:pPr>
          <a:r>
            <a:rPr lang="en-IN" sz="2000" b="1" i="0" u="none" strike="noStrike" baseline="0">
              <a:solidFill>
                <a:srgbClr val="FF0000"/>
              </a:solidFill>
              <a:latin typeface="Aptos Narrow"/>
            </a:rPr>
            <a:t>6</a:t>
          </a:r>
          <a:r>
            <a:rPr lang="en-IN" sz="2000" b="1" i="0" u="none" strike="noStrike" baseline="0">
              <a:solidFill>
                <a:srgbClr val="000000"/>
              </a:solidFill>
              <a:latin typeface="Aptos Narrow"/>
            </a:rPr>
            <a:t>. This dashboard helps in identifying top-performing products, best salespersons, and high-revenue locations for better business decision-making.</a:t>
          </a:r>
        </a:p>
      </xdr:txBody>
    </xdr:sp>
    <xdr:clientData/>
  </xdr:twoCellAnchor>
  <xdr:twoCellAnchor>
    <xdr:from>
      <xdr:col>3</xdr:col>
      <xdr:colOff>559675</xdr:colOff>
      <xdr:row>30</xdr:row>
      <xdr:rowOff>115455</xdr:rowOff>
    </xdr:from>
    <xdr:to>
      <xdr:col>7</xdr:col>
      <xdr:colOff>559675</xdr:colOff>
      <xdr:row>32</xdr:row>
      <xdr:rowOff>177810</xdr:rowOff>
    </xdr:to>
    <xdr:sp macro="" textlink="">
      <xdr:nvSpPr>
        <xdr:cNvPr id="10" name="Rectangle 9">
          <a:extLst>
            <a:ext uri="{FF2B5EF4-FFF2-40B4-BE49-F238E27FC236}">
              <a16:creationId xmlns:a16="http://schemas.microsoft.com/office/drawing/2014/main" id="{B8B85BAD-DC74-4205-81A1-FC8FC5742DC7}"/>
            </a:ext>
          </a:extLst>
        </xdr:cNvPr>
        <xdr:cNvSpPr/>
      </xdr:nvSpPr>
      <xdr:spPr>
        <a:xfrm>
          <a:off x="2378084" y="5743864"/>
          <a:ext cx="2424546" cy="437582"/>
        </a:xfrm>
        <a:prstGeom prst="rect">
          <a:avLst/>
        </a:prstGeom>
        <a:solidFill>
          <a:schemeClr val="accent1">
            <a:lumMod val="20000"/>
            <a:lumOff val="8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IN" sz="2400" b="0" cap="none" spc="0">
              <a:ln w="0"/>
              <a:solidFill>
                <a:schemeClr val="accent1"/>
              </a:solidFill>
              <a:effectLst>
                <a:outerShdw blurRad="38100" dist="25400" dir="5400000" algn="ctr" rotWithShape="0">
                  <a:srgbClr val="6E747A">
                    <a:alpha val="43000"/>
                  </a:srgbClr>
                </a:outerShdw>
              </a:effectLst>
              <a:latin typeface="+mn-lt"/>
              <a:ea typeface="+mn-ea"/>
              <a:cs typeface="+mn-cs"/>
            </a:rPr>
            <a:t>💰</a:t>
          </a:r>
          <a:r>
            <a:rPr lang="en-IN" sz="2400" b="0" cap="none" spc="0" baseline="0">
              <a:ln w="0"/>
              <a:solidFill>
                <a:schemeClr val="accent1"/>
              </a:solidFill>
              <a:effectLst>
                <a:outerShdw blurRad="38100" dist="25400" dir="5400000" algn="ctr" rotWithShape="0">
                  <a:srgbClr val="6E747A">
                    <a:alpha val="43000"/>
                  </a:srgbClr>
                </a:outerShdw>
              </a:effectLst>
              <a:latin typeface="+mn-lt"/>
              <a:ea typeface="+mn-ea"/>
              <a:cs typeface="+mn-cs"/>
            </a:rPr>
            <a:t> Average Sales</a:t>
          </a:r>
          <a:endParaRPr lang="en-IN" sz="24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4</xdr:col>
      <xdr:colOff>343198</xdr:colOff>
      <xdr:row>33</xdr:row>
      <xdr:rowOff>72160</xdr:rowOff>
    </xdr:from>
    <xdr:to>
      <xdr:col>7</xdr:col>
      <xdr:colOff>543465</xdr:colOff>
      <xdr:row>36</xdr:row>
      <xdr:rowOff>42543</xdr:rowOff>
    </xdr:to>
    <xdr:sp macro="" textlink="'pivot tables'!E147">
      <xdr:nvSpPr>
        <xdr:cNvPr id="15" name="Rectangle: Rounded Corners 14">
          <a:extLst>
            <a:ext uri="{FF2B5EF4-FFF2-40B4-BE49-F238E27FC236}">
              <a16:creationId xmlns:a16="http://schemas.microsoft.com/office/drawing/2014/main" id="{40C1FE1F-313D-4D8A-8F6A-2C9B24A07067}"/>
            </a:ext>
          </a:extLst>
        </xdr:cNvPr>
        <xdr:cNvSpPr/>
      </xdr:nvSpPr>
      <xdr:spPr>
        <a:xfrm>
          <a:off x="2767743" y="6263410"/>
          <a:ext cx="2018677" cy="5332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F1A7C15-1E4E-416E-807D-7DD3CFEDAB6A}" type="TxLink">
            <a:rPr lang="en-US" sz="2400" b="1" i="0" u="none" strike="noStrike">
              <a:solidFill>
                <a:srgbClr val="000000"/>
              </a:solidFill>
              <a:latin typeface="Aptos Narrow"/>
              <a:ea typeface="+mn-ea"/>
              <a:cs typeface="+mn-cs"/>
            </a:rPr>
            <a:pPr marL="0" indent="0" algn="l"/>
            <a:t> 4,27,093.14 </a:t>
          </a:fld>
          <a:endParaRPr lang="en-IN" sz="2400" b="1" i="0" u="none" strike="noStrike">
            <a:solidFill>
              <a:srgbClr val="000000"/>
            </a:solidFill>
            <a:latin typeface="Aptos Narrow"/>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66674</xdr:colOff>
      <xdr:row>2</xdr:row>
      <xdr:rowOff>180975</xdr:rowOff>
    </xdr:from>
    <xdr:to>
      <xdr:col>17</xdr:col>
      <xdr:colOff>57150</xdr:colOff>
      <xdr:row>10</xdr:row>
      <xdr:rowOff>28575</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98B210E1-ACA2-7EBE-12C2-0261E376662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114674" y="561975"/>
              <a:ext cx="730567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66675</xdr:colOff>
      <xdr:row>11</xdr:row>
      <xdr:rowOff>133351</xdr:rowOff>
    </xdr:from>
    <xdr:to>
      <xdr:col>14</xdr:col>
      <xdr:colOff>295275</xdr:colOff>
      <xdr:row>15</xdr:row>
      <xdr:rowOff>152401</xdr:rowOff>
    </xdr:to>
    <mc:AlternateContent xmlns:mc="http://schemas.openxmlformats.org/markup-compatibility/2006" xmlns:a14="http://schemas.microsoft.com/office/drawing/2010/main">
      <mc:Choice Requires="a14">
        <xdr:graphicFrame macro="">
          <xdr:nvGraphicFramePr>
            <xdr:cNvPr id="3" name="Products">
              <a:extLst>
                <a:ext uri="{FF2B5EF4-FFF2-40B4-BE49-F238E27FC236}">
                  <a16:creationId xmlns:a16="http://schemas.microsoft.com/office/drawing/2014/main" id="{ADDCF2AA-F878-3004-A550-2461983DE177}"/>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3114675" y="2228851"/>
              <a:ext cx="5715000" cy="781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600075</xdr:colOff>
      <xdr:row>16</xdr:row>
      <xdr:rowOff>66675</xdr:rowOff>
    </xdr:from>
    <xdr:to>
      <xdr:col>7</xdr:col>
      <xdr:colOff>600075</xdr:colOff>
      <xdr:row>23</xdr:row>
      <xdr:rowOff>95250</xdr:rowOff>
    </xdr:to>
    <mc:AlternateContent xmlns:mc="http://schemas.openxmlformats.org/markup-compatibility/2006" xmlns:a14="http://schemas.microsoft.com/office/drawing/2010/main">
      <mc:Choice Requires="a14">
        <xdr:graphicFrame macro="">
          <xdr:nvGraphicFramePr>
            <xdr:cNvPr id="4" name="Place">
              <a:extLst>
                <a:ext uri="{FF2B5EF4-FFF2-40B4-BE49-F238E27FC236}">
                  <a16:creationId xmlns:a16="http://schemas.microsoft.com/office/drawing/2014/main" id="{77178B68-3F8B-A904-6414-86B617E3E152}"/>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mlns="">
        <xdr:sp macro="" textlink="">
          <xdr:nvSpPr>
            <xdr:cNvPr id="0" name=""/>
            <xdr:cNvSpPr>
              <a:spLocks noTextEdit="1"/>
            </xdr:cNvSpPr>
          </xdr:nvSpPr>
          <xdr:spPr>
            <a:xfrm>
              <a:off x="3038475" y="3114675"/>
              <a:ext cx="1828800"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495299</xdr:colOff>
      <xdr:row>17</xdr:row>
      <xdr:rowOff>66675</xdr:rowOff>
    </xdr:from>
    <xdr:to>
      <xdr:col>20</xdr:col>
      <xdr:colOff>66675</xdr:colOff>
      <xdr:row>22</xdr:row>
      <xdr:rowOff>95250</xdr:rowOff>
    </xdr:to>
    <mc:AlternateContent xmlns:mc="http://schemas.openxmlformats.org/markup-compatibility/2006" xmlns:a14="http://schemas.microsoft.com/office/drawing/2010/main">
      <mc:Choice Requires="a14">
        <xdr:graphicFrame macro="">
          <xdr:nvGraphicFramePr>
            <xdr:cNvPr id="5" name="Date (Month)">
              <a:extLst>
                <a:ext uri="{FF2B5EF4-FFF2-40B4-BE49-F238E27FC236}">
                  <a16:creationId xmlns:a16="http://schemas.microsoft.com/office/drawing/2014/main" id="{B033B521-8D80-6DD7-807D-D86ED2E6CB3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038849" y="3305175"/>
              <a:ext cx="6886576"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485774</xdr:colOff>
      <xdr:row>31</xdr:row>
      <xdr:rowOff>133350</xdr:rowOff>
    </xdr:from>
    <xdr:to>
      <xdr:col>12</xdr:col>
      <xdr:colOff>304800</xdr:colOff>
      <xdr:row>41</xdr:row>
      <xdr:rowOff>171450</xdr:rowOff>
    </xdr:to>
    <xdr:graphicFrame macro="">
      <xdr:nvGraphicFramePr>
        <xdr:cNvPr id="2" name="Chart 1">
          <a:extLst>
            <a:ext uri="{FF2B5EF4-FFF2-40B4-BE49-F238E27FC236}">
              <a16:creationId xmlns:a16="http://schemas.microsoft.com/office/drawing/2014/main" id="{EA628C9C-0616-F979-8E9A-B55E91B66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590549</xdr:colOff>
      <xdr:row>1</xdr:row>
      <xdr:rowOff>128587</xdr:rowOff>
    </xdr:from>
    <xdr:to>
      <xdr:col>11</xdr:col>
      <xdr:colOff>447674</xdr:colOff>
      <xdr:row>16</xdr:row>
      <xdr:rowOff>14287</xdr:rowOff>
    </xdr:to>
    <xdr:graphicFrame macro="">
      <xdr:nvGraphicFramePr>
        <xdr:cNvPr id="5" name="Chart 4">
          <a:extLst>
            <a:ext uri="{FF2B5EF4-FFF2-40B4-BE49-F238E27FC236}">
              <a16:creationId xmlns:a16="http://schemas.microsoft.com/office/drawing/2014/main" id="{E9D0491D-21C3-2E43-177E-85E111720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657225</xdr:colOff>
      <xdr:row>17</xdr:row>
      <xdr:rowOff>166687</xdr:rowOff>
    </xdr:from>
    <xdr:to>
      <xdr:col>11</xdr:col>
      <xdr:colOff>114300</xdr:colOff>
      <xdr:row>28</xdr:row>
      <xdr:rowOff>180975</xdr:rowOff>
    </xdr:to>
    <xdr:graphicFrame macro="">
      <xdr:nvGraphicFramePr>
        <xdr:cNvPr id="6" name="Chart 5">
          <a:extLst>
            <a:ext uri="{FF2B5EF4-FFF2-40B4-BE49-F238E27FC236}">
              <a16:creationId xmlns:a16="http://schemas.microsoft.com/office/drawing/2014/main" id="{4AB403C6-CEF3-824C-66B9-070B6BDA3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266700</xdr:colOff>
      <xdr:row>44</xdr:row>
      <xdr:rowOff>4762</xdr:rowOff>
    </xdr:from>
    <xdr:to>
      <xdr:col>10</xdr:col>
      <xdr:colOff>666750</xdr:colOff>
      <xdr:row>56</xdr:row>
      <xdr:rowOff>104775</xdr:rowOff>
    </xdr:to>
    <xdr:graphicFrame macro="">
      <xdr:nvGraphicFramePr>
        <xdr:cNvPr id="8" name="Chart 7">
          <a:extLst>
            <a:ext uri="{FF2B5EF4-FFF2-40B4-BE49-F238E27FC236}">
              <a16:creationId xmlns:a16="http://schemas.microsoft.com/office/drawing/2014/main" id="{06A1C835-1B5B-95ED-B200-181E1DD49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247650</xdr:colOff>
      <xdr:row>65</xdr:row>
      <xdr:rowOff>90487</xdr:rowOff>
    </xdr:from>
    <xdr:to>
      <xdr:col>8</xdr:col>
      <xdr:colOff>57150</xdr:colOff>
      <xdr:row>75</xdr:row>
      <xdr:rowOff>171450</xdr:rowOff>
    </xdr:to>
    <xdr:graphicFrame macro="">
      <xdr:nvGraphicFramePr>
        <xdr:cNvPr id="11" name="Chart 10">
          <a:extLst>
            <a:ext uri="{FF2B5EF4-FFF2-40B4-BE49-F238E27FC236}">
              <a16:creationId xmlns:a16="http://schemas.microsoft.com/office/drawing/2014/main" id="{28E9C163-DDE1-F49C-06D1-A0E16E50EA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247650</xdr:colOff>
      <xdr:row>75</xdr:row>
      <xdr:rowOff>95250</xdr:rowOff>
    </xdr:from>
    <xdr:to>
      <xdr:col>8</xdr:col>
      <xdr:colOff>57150</xdr:colOff>
      <xdr:row>84</xdr:row>
      <xdr:rowOff>90486</xdr:rowOff>
    </xdr:to>
    <xdr:graphicFrame macro="">
      <xdr:nvGraphicFramePr>
        <xdr:cNvPr id="12" name="Chart 11">
          <a:extLst>
            <a:ext uri="{FF2B5EF4-FFF2-40B4-BE49-F238E27FC236}">
              <a16:creationId xmlns:a16="http://schemas.microsoft.com/office/drawing/2014/main" id="{9778DAC2-3CFD-D5AF-EF2E-B8E5976AE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447675</xdr:colOff>
      <xdr:row>86</xdr:row>
      <xdr:rowOff>176212</xdr:rowOff>
    </xdr:from>
    <xdr:to>
      <xdr:col>14</xdr:col>
      <xdr:colOff>485774</xdr:colOff>
      <xdr:row>99</xdr:row>
      <xdr:rowOff>142875</xdr:rowOff>
    </xdr:to>
    <xdr:graphicFrame macro="">
      <xdr:nvGraphicFramePr>
        <xdr:cNvPr id="13" name="Chart 12">
          <a:extLst>
            <a:ext uri="{FF2B5EF4-FFF2-40B4-BE49-F238E27FC236}">
              <a16:creationId xmlns:a16="http://schemas.microsoft.com/office/drawing/2014/main" id="{C6325AF9-7BB2-9CB9-08F1-D5656DFA2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66675</xdr:colOff>
      <xdr:row>65</xdr:row>
      <xdr:rowOff>157163</xdr:rowOff>
    </xdr:from>
    <xdr:to>
      <xdr:col>16</xdr:col>
      <xdr:colOff>381000</xdr:colOff>
      <xdr:row>73</xdr:row>
      <xdr:rowOff>180975</xdr:rowOff>
    </xdr:to>
    <xdr:graphicFrame macro="">
      <xdr:nvGraphicFramePr>
        <xdr:cNvPr id="16" name="Chart 15">
          <a:extLst>
            <a:ext uri="{FF2B5EF4-FFF2-40B4-BE49-F238E27FC236}">
              <a16:creationId xmlns:a16="http://schemas.microsoft.com/office/drawing/2014/main" id="{ECF45CAD-BB50-46C9-0064-25FFD62F0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204786</xdr:colOff>
      <xdr:row>74</xdr:row>
      <xdr:rowOff>166687</xdr:rowOff>
    </xdr:from>
    <xdr:to>
      <xdr:col>18</xdr:col>
      <xdr:colOff>581024</xdr:colOff>
      <xdr:row>85</xdr:row>
      <xdr:rowOff>133350</xdr:rowOff>
    </xdr:to>
    <xdr:graphicFrame macro="">
      <xdr:nvGraphicFramePr>
        <xdr:cNvPr id="17" name="Chart 16">
          <a:extLst>
            <a:ext uri="{FF2B5EF4-FFF2-40B4-BE49-F238E27FC236}">
              <a16:creationId xmlns:a16="http://schemas.microsoft.com/office/drawing/2014/main" id="{C9D5F601-BD39-7596-1483-D6EF6F79F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266699</xdr:colOff>
      <xdr:row>104</xdr:row>
      <xdr:rowOff>142875</xdr:rowOff>
    </xdr:from>
    <xdr:to>
      <xdr:col>7</xdr:col>
      <xdr:colOff>600074</xdr:colOff>
      <xdr:row>112</xdr:row>
      <xdr:rowOff>0</xdr:rowOff>
    </xdr:to>
    <xdr:graphicFrame macro="">
      <xdr:nvGraphicFramePr>
        <xdr:cNvPr id="20" name="Chart 19">
          <a:extLst>
            <a:ext uri="{FF2B5EF4-FFF2-40B4-BE49-F238E27FC236}">
              <a16:creationId xmlns:a16="http://schemas.microsoft.com/office/drawing/2014/main" id="{2006BFB8-B786-CC43-E737-1FC61B38D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571499</xdr:colOff>
      <xdr:row>113</xdr:row>
      <xdr:rowOff>9524</xdr:rowOff>
    </xdr:from>
    <xdr:to>
      <xdr:col>8</xdr:col>
      <xdr:colOff>228599</xdr:colOff>
      <xdr:row>122</xdr:row>
      <xdr:rowOff>100011</xdr:rowOff>
    </xdr:to>
    <xdr:graphicFrame macro="">
      <xdr:nvGraphicFramePr>
        <xdr:cNvPr id="21" name="Chart 20">
          <a:extLst>
            <a:ext uri="{FF2B5EF4-FFF2-40B4-BE49-F238E27FC236}">
              <a16:creationId xmlns:a16="http://schemas.microsoft.com/office/drawing/2014/main" id="{63896B5F-B0D2-D54E-0E7A-2471A751B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485775</xdr:colOff>
      <xdr:row>123</xdr:row>
      <xdr:rowOff>138112</xdr:rowOff>
    </xdr:from>
    <xdr:to>
      <xdr:col>9</xdr:col>
      <xdr:colOff>28575</xdr:colOff>
      <xdr:row>138</xdr:row>
      <xdr:rowOff>23812</xdr:rowOff>
    </xdr:to>
    <xdr:graphicFrame macro="">
      <xdr:nvGraphicFramePr>
        <xdr:cNvPr id="22" name="Chart 21">
          <a:extLst>
            <a:ext uri="{FF2B5EF4-FFF2-40B4-BE49-F238E27FC236}">
              <a16:creationId xmlns:a16="http://schemas.microsoft.com/office/drawing/2014/main" id="{23FE20B6-02F9-8C8D-E7DD-2ABA1D820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400049</xdr:colOff>
      <xdr:row>149</xdr:row>
      <xdr:rowOff>57150</xdr:rowOff>
    </xdr:from>
    <xdr:to>
      <xdr:col>8</xdr:col>
      <xdr:colOff>866775</xdr:colOff>
      <xdr:row>158</xdr:row>
      <xdr:rowOff>152400</xdr:rowOff>
    </xdr:to>
    <xdr:graphicFrame macro="">
      <xdr:nvGraphicFramePr>
        <xdr:cNvPr id="4" name="Chart 3">
          <a:extLst>
            <a:ext uri="{FF2B5EF4-FFF2-40B4-BE49-F238E27FC236}">
              <a16:creationId xmlns:a16="http://schemas.microsoft.com/office/drawing/2014/main" id="{2710B0AB-73CE-BDAB-5823-D259411EC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400049</xdr:colOff>
      <xdr:row>160</xdr:row>
      <xdr:rowOff>133350</xdr:rowOff>
    </xdr:from>
    <xdr:to>
      <xdr:col>8</xdr:col>
      <xdr:colOff>85724</xdr:colOff>
      <xdr:row>174</xdr:row>
      <xdr:rowOff>57150</xdr:rowOff>
    </xdr:to>
    <xdr:graphicFrame macro="">
      <xdr:nvGraphicFramePr>
        <xdr:cNvPr id="10" name="Chart 9">
          <a:extLst>
            <a:ext uri="{FF2B5EF4-FFF2-40B4-BE49-F238E27FC236}">
              <a16:creationId xmlns:a16="http://schemas.microsoft.com/office/drawing/2014/main" id="{85323477-1F6E-B6E2-4DD8-286E4ABD4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209550</xdr:colOff>
      <xdr:row>148</xdr:row>
      <xdr:rowOff>100012</xdr:rowOff>
    </xdr:from>
    <xdr:to>
      <xdr:col>13</xdr:col>
      <xdr:colOff>333375</xdr:colOff>
      <xdr:row>162</xdr:row>
      <xdr:rowOff>38100</xdr:rowOff>
    </xdr:to>
    <xdr:graphicFrame macro="">
      <xdr:nvGraphicFramePr>
        <xdr:cNvPr id="19" name="Chart 18">
          <a:extLst>
            <a:ext uri="{FF2B5EF4-FFF2-40B4-BE49-F238E27FC236}">
              <a16:creationId xmlns:a16="http://schemas.microsoft.com/office/drawing/2014/main" id="{FC844B06-995A-D7AC-8639-D3B884FB4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304800</xdr:colOff>
      <xdr:row>194</xdr:row>
      <xdr:rowOff>33337</xdr:rowOff>
    </xdr:from>
    <xdr:to>
      <xdr:col>7</xdr:col>
      <xdr:colOff>514350</xdr:colOff>
      <xdr:row>208</xdr:row>
      <xdr:rowOff>109537</xdr:rowOff>
    </xdr:to>
    <xdr:graphicFrame macro="">
      <xdr:nvGraphicFramePr>
        <xdr:cNvPr id="33" name="Chart 32">
          <a:extLst>
            <a:ext uri="{FF2B5EF4-FFF2-40B4-BE49-F238E27FC236}">
              <a16:creationId xmlns:a16="http://schemas.microsoft.com/office/drawing/2014/main" id="{31C3B039-64DA-59E1-75D0-BE5DB3B72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7</xdr:col>
      <xdr:colOff>219075</xdr:colOff>
      <xdr:row>192</xdr:row>
      <xdr:rowOff>9525</xdr:rowOff>
    </xdr:from>
    <xdr:to>
      <xdr:col>8</xdr:col>
      <xdr:colOff>923925</xdr:colOff>
      <xdr:row>206</xdr:row>
      <xdr:rowOff>9525</xdr:rowOff>
    </xdr:to>
    <mc:AlternateContent xmlns:mc="http://schemas.openxmlformats.org/markup-compatibility/2006" xmlns:a14="http://schemas.microsoft.com/office/drawing/2010/main">
      <mc:Choice Requires="a14">
        <xdr:graphicFrame macro="">
          <xdr:nvGraphicFramePr>
            <xdr:cNvPr id="34" name="Place 5">
              <a:extLst>
                <a:ext uri="{FF2B5EF4-FFF2-40B4-BE49-F238E27FC236}">
                  <a16:creationId xmlns:a16="http://schemas.microsoft.com/office/drawing/2014/main" id="{E1F05A1E-CC84-25C9-62D4-FD38551241CC}"/>
                </a:ext>
              </a:extLst>
            </xdr:cNvPr>
            <xdr:cNvGraphicFramePr/>
          </xdr:nvGraphicFramePr>
          <xdr:xfrm>
            <a:off x="0" y="0"/>
            <a:ext cx="0" cy="0"/>
          </xdr:xfrm>
          <a:graphic>
            <a:graphicData uri="http://schemas.microsoft.com/office/drawing/2010/slicer">
              <sle:slicer xmlns:sle="http://schemas.microsoft.com/office/drawing/2010/slicer" name="Place 5"/>
            </a:graphicData>
          </a:graphic>
        </xdr:graphicFrame>
      </mc:Choice>
      <mc:Fallback xmlns="">
        <xdr:sp macro="" textlink="">
          <xdr:nvSpPr>
            <xdr:cNvPr id="0" name=""/>
            <xdr:cNvSpPr>
              <a:spLocks noTextEdit="1"/>
            </xdr:cNvSpPr>
          </xdr:nvSpPr>
          <xdr:spPr>
            <a:xfrm>
              <a:off x="6915150" y="365950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57149</xdr:rowOff>
    </xdr:from>
    <xdr:to>
      <xdr:col>1</xdr:col>
      <xdr:colOff>1057274</xdr:colOff>
      <xdr:row>27</xdr:row>
      <xdr:rowOff>66674</xdr:rowOff>
    </xdr:to>
    <xdr:sp macro="" textlink="">
      <xdr:nvSpPr>
        <xdr:cNvPr id="2" name="Rectangle 1">
          <a:extLst>
            <a:ext uri="{FF2B5EF4-FFF2-40B4-BE49-F238E27FC236}">
              <a16:creationId xmlns:a16="http://schemas.microsoft.com/office/drawing/2014/main" id="{C009E2B5-9CE4-65E6-69D7-DE28E056B08C}"/>
            </a:ext>
          </a:extLst>
        </xdr:cNvPr>
        <xdr:cNvSpPr/>
      </xdr:nvSpPr>
      <xdr:spPr>
        <a:xfrm>
          <a:off x="0" y="57149"/>
          <a:ext cx="1409699" cy="515302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1009650</xdr:colOff>
      <xdr:row>0</xdr:row>
      <xdr:rowOff>47625</xdr:rowOff>
    </xdr:from>
    <xdr:to>
      <xdr:col>19</xdr:col>
      <xdr:colOff>209550</xdr:colOff>
      <xdr:row>27</xdr:row>
      <xdr:rowOff>57150</xdr:rowOff>
    </xdr:to>
    <xdr:sp macro="" textlink="">
      <xdr:nvSpPr>
        <xdr:cNvPr id="3" name="Rectangle 2">
          <a:extLst>
            <a:ext uri="{FF2B5EF4-FFF2-40B4-BE49-F238E27FC236}">
              <a16:creationId xmlns:a16="http://schemas.microsoft.com/office/drawing/2014/main" id="{FFE7528B-E1A4-43CE-82E7-55AA5AA7AC74}"/>
            </a:ext>
          </a:extLst>
        </xdr:cNvPr>
        <xdr:cNvSpPr/>
      </xdr:nvSpPr>
      <xdr:spPr>
        <a:xfrm>
          <a:off x="1362075" y="47625"/>
          <a:ext cx="10287000" cy="5153025"/>
        </a:xfrm>
        <a:prstGeom prst="rect">
          <a:avLst/>
        </a:prstGeom>
        <a:solidFill>
          <a:schemeClr val="accent6">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838296875001" backgroundQuery="1" createdVersion="8" refreshedVersion="8" minRefreshableVersion="3" recordCount="0" supportSubquery="1" supportAdvancedDrill="1" xr:uid="{F8D418F7-3980-4FC0-AD65-4C78A0F3250B}">
  <cacheSource type="external" connectionId="1"/>
  <cacheFields count="6">
    <cacheField name="[Table1].[Products].[Products]" caption="Products" numFmtId="0" hierarchy="2" level="1">
      <sharedItems containsSemiMixedTypes="0" containsNonDate="0" containsString="0"/>
    </cacheField>
    <cacheField name="[Table1].[Date].[Date]" caption="Date" numFmtId="0" level="1">
      <sharedItems containsSemiMixedTypes="0" containsNonDate="0" containsString="0"/>
    </cacheField>
    <cacheField name="[Table1].[Place].[Place]" caption="Place" numFmtId="0" hierarchy="3" level="1">
      <sharedItems containsSemiMixedTypes="0" containsNonDate="0" containsString="0"/>
    </cacheField>
    <cacheField name="[Table1].[Date (Month)].[Date (Month)]" caption="Date (Month)" numFmtId="0" hierarchy="9" level="1">
      <sharedItems containsSemiMixedTypes="0" containsNonDate="0" containsString="0"/>
    </cacheField>
    <cacheField name="[Measures].[Sum of Amount]" caption="Sum of Amount" numFmtId="0" hierarchy="13" level="32767"/>
    <cacheField name="[Table1].[Sales Persons].[Sales Persons]" caption="Sales Persons" numFmtId="0" hierarchy="1"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2" memberValueDatatype="7" unbalanced="0">
      <fieldsUsage count="2">
        <fieldUsage x="-1"/>
        <fieldUsage x="1"/>
      </fieldsUsage>
    </cacheHierarchy>
    <cacheHierarchy uniqueName="[Table1].[Sales Persons]" caption="Sales Persons" attribute="1" defaultMemberUniqueName="[Table1].[Sales Persons].[All]" allUniqueName="[Table1].[Sales Persons].[All]" dimensionUniqueName="[Table1]" displayFolder="" count="2" memberValueDatatype="130" unbalanced="0">
      <fieldsUsage count="2">
        <fieldUsage x="-1"/>
        <fieldUsage x="5"/>
      </fieldsUsage>
    </cacheHierarchy>
    <cacheHierarchy uniqueName="[Table1].[Products]" caption="Products" attribute="1" defaultMemberUniqueName="[Table1].[Products].[All]" allUniqueName="[Table1].[Products].[All]" dimensionUniqueName="[Table1]" displayFolder="" count="2" memberValueDatatype="130" unbalanced="0">
      <fieldsUsage count="2">
        <fieldUsage x="-1"/>
        <fieldUsage x="0"/>
      </fieldsUsage>
    </cacheHierarchy>
    <cacheHierarchy uniqueName="[Table1].[Place]" caption="Place" attribute="1" defaultMemberUniqueName="[Table1].[Place].[All]" allUniqueName="[Table1].[Place].[All]" dimensionUniqueName="[Table1]" displayFolder="" count="2" memberValueDatatype="130" unbalanced="0">
      <fieldsUsage count="2">
        <fieldUsage x="-1"/>
        <fieldUsage x="2"/>
      </fieldsUsage>
    </cacheHierarchy>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3"/>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4"/>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838297337963" backgroundQuery="1" createdVersion="8" refreshedVersion="8" minRefreshableVersion="3" recordCount="0" supportSubquery="1" supportAdvancedDrill="1" xr:uid="{B78C1CE5-4F3D-4AF4-9A34-4C995D7F02E1}">
  <cacheSource type="external" connectionId="1"/>
  <cacheFields count="2">
    <cacheField name="[Measures].[Count of Amount]" caption="Count of Amount" numFmtId="0" hierarchy="14" level="32767"/>
    <cacheField name="[Table1].[Products].[Products]" caption="Products" numFmtId="0" hierarchy="2"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fieldsUsage count="2">
        <fieldUsage x="-1"/>
        <fieldUsage x="1"/>
      </fieldsUsage>
    </cacheHierarchy>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838290162035" backgroundQuery="1" createdVersion="8" refreshedVersion="8" minRefreshableVersion="3" recordCount="0" supportSubquery="1" supportAdvancedDrill="1" xr:uid="{EE1B1454-C963-48F2-87EA-909B92A49814}">
  <cacheSource type="external" connectionId="1"/>
  <cacheFields count="2">
    <cacheField name="[Table1].[Products].[Products]" caption="Products" numFmtId="0" hierarchy="2" level="1">
      <sharedItems count="6">
        <s v="4K LED TV's"/>
        <s v="Furniture"/>
        <s v="Laptops"/>
        <s v="LED TV's"/>
        <s v="Mobiles"/>
        <s v="Speakers"/>
      </sharedItems>
    </cacheField>
    <cacheField name="[Measures].[Sum of Units]" caption="Sum of Units" numFmtId="0" hierarchy="15" level="32767"/>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fieldsUsage count="2">
        <fieldUsage x="-1"/>
        <fieldUsage x="0"/>
      </fieldsUsage>
    </cacheHierarchy>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5.745609490739" backgroundQuery="1" createdVersion="8" refreshedVersion="8" minRefreshableVersion="3" recordCount="0" supportSubquery="1" supportAdvancedDrill="1" xr:uid="{F2141909-19ED-4898-B06B-232E9C7D6B52}">
  <cacheSource type="external" connectionId="1"/>
  <cacheFields count="2">
    <cacheField name="[Table1].[Products].[Products]" caption="Products" numFmtId="0" hierarchy="2" level="1">
      <sharedItems count="1">
        <s v="Furniture"/>
      </sharedItems>
    </cacheField>
    <cacheField name="[Measures].[Sum of Units]" caption="Sum of Units" numFmtId="0" hierarchy="15" level="32767"/>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fieldsUsage count="2">
        <fieldUsage x="-1"/>
        <fieldUsage x="0"/>
      </fieldsUsage>
    </cacheHierarchy>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838296412039" backgroundQuery="1" createdVersion="8" refreshedVersion="8" minRefreshableVersion="3" recordCount="0" supportSubquery="1" supportAdvancedDrill="1" xr:uid="{D40D561C-30CF-4AED-B939-676E0147F6F0}">
  <cacheSource type="external" connectionId="1"/>
  <cacheFields count="3">
    <cacheField name="[Measures].[Sum of Amount]" caption="Sum of Amount" numFmtId="0" hierarchy="13" level="32767"/>
    <cacheField name="[Table1].[Place].[Place]" caption="Place" numFmtId="0" hierarchy="3" level="1">
      <sharedItems count="6">
        <s v="Bapatla"/>
        <s v="Chirala"/>
        <s v="Guntur"/>
        <s v="Ongole"/>
        <s v="Tenali"/>
        <s v="Vijayawada"/>
      </sharedItems>
    </cacheField>
    <cacheField name="[Table1].[Products].[Products]" caption="Products" numFmtId="0" hierarchy="2"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fieldsUsage count="2">
        <fieldUsage x="-1"/>
        <fieldUsage x="2"/>
      </fieldsUsage>
    </cacheHierarchy>
    <cacheHierarchy uniqueName="[Table1].[Place]" caption="Place" attribute="1" defaultMemberUniqueName="[Table1].[Place].[All]" allUniqueName="[Table1].[Place].[All]" dimensionUniqueName="[Table1]" displayFolder="" count="2" memberValueDatatype="130" unbalanced="0">
      <fieldsUsage count="2">
        <fieldUsage x="-1"/>
        <fieldUsage x="1"/>
      </fieldsUsage>
    </cacheHierarchy>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838294791669" backgroundQuery="1" createdVersion="8" refreshedVersion="8" minRefreshableVersion="3" recordCount="0" supportSubquery="1" supportAdvancedDrill="1" xr:uid="{57C48EFA-1D80-42A2-BF2D-8D5478755836}">
  <cacheSource type="external" connectionId="1"/>
  <cacheFields count="3">
    <cacheField name="[Table1].[Sales Persons].[Sales Persons]" caption="Sales Persons" numFmtId="0" hierarchy="1" level="1">
      <sharedItems count="6">
        <s v="Mahesh"/>
        <s v="Prathap"/>
        <s v="Ramesh"/>
        <s v="Ganesh" u="1"/>
        <s v="Gopi" u="1"/>
        <s v="Kiran" u="1"/>
      </sharedItems>
    </cacheField>
    <cacheField name="[Measures].[Sum of Units]" caption="Sum of Units" numFmtId="0" hierarchy="15" level="32767"/>
    <cacheField name="[Table1].[Products].[Products]" caption="Products" numFmtId="0" hierarchy="2"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2" memberValueDatatype="130" unbalanced="0">
      <fieldsUsage count="2">
        <fieldUsage x="-1"/>
        <fieldUsage x="0"/>
      </fieldsUsage>
    </cacheHierarchy>
    <cacheHierarchy uniqueName="[Table1].[Products]" caption="Products" attribute="1" defaultMemberUniqueName="[Table1].[Products].[All]" allUniqueName="[Table1].[Products].[All]" dimensionUniqueName="[Table1]" displayFolder="" count="2" memberValueDatatype="130" unbalanced="0">
      <fieldsUsage count="2">
        <fieldUsage x="-1"/>
        <fieldUsage x="2"/>
      </fieldsUsage>
    </cacheHierarchy>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2.51140787037" backgroundQuery="1" createdVersion="8" refreshedVersion="8" minRefreshableVersion="3" recordCount="0" supportSubquery="1" supportAdvancedDrill="1" xr:uid="{DA7CB42B-A7F9-4FEB-8FF8-69A1A0938545}">
  <cacheSource type="external" connectionId="1"/>
  <cacheFields count="2">
    <cacheField name="[Measures].[Sum of Amount]" caption="Sum of Amount" numFmtId="0" hierarchy="13" level="32767"/>
    <cacheField name="[Table1].[Place].[Place]" caption="Place" numFmtId="0" hierarchy="3" level="1">
      <sharedItems count="6">
        <s v="Bapatla"/>
        <s v="Chirala"/>
        <s v="Guntur"/>
        <s v="Ongole"/>
        <s v="Tenali"/>
        <s v="Vijayawada"/>
      </sharedItems>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0" memberValueDatatype="130" unbalanced="0"/>
    <cacheHierarchy uniqueName="[Table1].[Place]" caption="Place" attribute="1" defaultMemberUniqueName="[Table1].[Place].[All]" allUniqueName="[Table1].[Place].[All]" dimensionUniqueName="[Table1]" displayFolder="" count="2" memberValueDatatype="130" unbalanced="0">
      <fieldsUsage count="2">
        <fieldUsage x="-1"/>
        <fieldUsage x="1"/>
      </fieldsUsage>
    </cacheHierarchy>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838295370369" backgroundQuery="1" createdVersion="8" refreshedVersion="8" minRefreshableVersion="3" recordCount="0" supportSubquery="1" supportAdvancedDrill="1" xr:uid="{FFC5B0D9-6B06-4285-B789-0A2F47063D58}">
  <cacheSource type="external" connectionId="1"/>
  <cacheFields count="3">
    <cacheField name="[Table1].[Date (Month)].[Date (Month)]" caption="Date (Month)" numFmtId="0" hierarchy="9" level="1">
      <sharedItems count="12">
        <s v="Jan"/>
        <s v="Feb"/>
        <s v="Mar"/>
        <s v="Apr"/>
        <s v="May"/>
        <s v="Jun"/>
        <s v="Jul"/>
        <s v="Aug"/>
        <s v="Sep"/>
        <s v="Oct"/>
        <s v="Nov"/>
        <s v="Dec"/>
      </sharedItems>
    </cacheField>
    <cacheField name="[Measures].[Sum of Amount]" caption="Sum of Amount" numFmtId="0" hierarchy="13" level="32767"/>
    <cacheField name="[Table1].[Products].[Products]" caption="Products" numFmtId="0" hierarchy="2"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fieldsUsage count="2">
        <fieldUsage x="-1"/>
        <fieldUsage x="2"/>
      </fieldsUsage>
    </cacheHierarchy>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83829363426" backgroundQuery="1" createdVersion="8" refreshedVersion="8" minRefreshableVersion="3" recordCount="0" supportSubquery="1" supportAdvancedDrill="1" xr:uid="{6926BC02-7DC0-41C1-94CF-543194BEFDE9}">
  <cacheSource type="external" connectionId="1"/>
  <cacheFields count="3">
    <cacheField name="[Table1].[Sales Persons].[Sales Persons]" caption="Sales Persons" numFmtId="0" hierarchy="1" level="1">
      <sharedItems count="3">
        <s v="Ganesh"/>
        <s v="Gopi"/>
        <s v="Kiran"/>
      </sharedItems>
    </cacheField>
    <cacheField name="[Measures].[Sum of Units]" caption="Sum of Units" numFmtId="0" hierarchy="15" level="32767"/>
    <cacheField name="[Table1].[Products].[Products]" caption="Products" numFmtId="0" hierarchy="2"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2" memberValueDatatype="130" unbalanced="0">
      <fieldsUsage count="2">
        <fieldUsage x="-1"/>
        <fieldUsage x="0"/>
      </fieldsUsage>
    </cacheHierarchy>
    <cacheHierarchy uniqueName="[Table1].[Products]" caption="Products" attribute="1" defaultMemberUniqueName="[Table1].[Products].[All]" allUniqueName="[Table1].[Products].[All]" dimensionUniqueName="[Table1]" displayFolder="" count="2" memberValueDatatype="130" unbalanced="0">
      <fieldsUsage count="2">
        <fieldUsage x="-1"/>
        <fieldUsage x="2"/>
      </fieldsUsage>
    </cacheHierarchy>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2.41800416667" backgroundQuery="1" createdVersion="8" refreshedVersion="8" minRefreshableVersion="3" recordCount="0" supportSubquery="1" supportAdvancedDrill="1" xr:uid="{C8E174C0-CE31-4528-BF40-A1EB7314F49C}">
  <cacheSource type="external" connectionId="1"/>
  <cacheFields count="2">
    <cacheField name="[Measures].[Sum of Units]" caption="Sum of Units" numFmtId="0" hierarchy="15" level="32767"/>
    <cacheField name="[Table1].[Products].[Products]" caption="Products" numFmtId="0" hierarchy="2" level="1">
      <sharedItems count="6">
        <s v="4K LED TV's"/>
        <s v="Furniture"/>
        <s v="Laptops"/>
        <s v="LED TV's"/>
        <s v="Mobiles"/>
        <s v="Speakers"/>
      </sharedItems>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fieldsUsage count="2">
        <fieldUsage x="-1"/>
        <fieldUsage x="1"/>
      </fieldsUsage>
    </cacheHierarchy>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83829699074" backgroundQuery="1" createdVersion="8" refreshedVersion="8" minRefreshableVersion="3" recordCount="0" supportSubquery="1" supportAdvancedDrill="1" xr:uid="{9149087F-07DF-4764-BA7D-AEA3D3E1B310}">
  <cacheSource type="external" connectionId="1"/>
  <cacheFields count="2">
    <cacheField name="[Measures].[Sum of Amount]" caption="Sum of Amount" numFmtId="0" hierarchy="13" level="32767"/>
    <cacheField name="[Table1].[Products].[Products]" caption="Products" numFmtId="0" hierarchy="2"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fieldsUsage count="2">
        <fieldUsage x="-1"/>
        <fieldUsage x="1"/>
      </fieldsUsage>
    </cacheHierarchy>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838291898152" backgroundQuery="1" createdVersion="8" refreshedVersion="8" minRefreshableVersion="3" recordCount="0" supportSubquery="1" supportAdvancedDrill="1" xr:uid="{4071F5C3-C20B-4072-8D3F-679272428B80}">
  <cacheSource type="external" connectionId="1"/>
  <cacheFields count="3">
    <cacheField name="[Table1].[Sales Persons].[Sales Persons]" caption="Sales Persons" numFmtId="0" hierarchy="1" level="1">
      <sharedItems count="6">
        <s v="Ganesh"/>
        <s v="Gopi"/>
        <s v="Kiran"/>
        <s v="Mahesh"/>
        <s v="Prathap"/>
        <s v="Ramesh"/>
      </sharedItems>
    </cacheField>
    <cacheField name="[Measures].[Sum of Units]" caption="Sum of Units" numFmtId="0" hierarchy="15" level="32767"/>
    <cacheField name="[Table1].[Products].[Products]" caption="Products" numFmtId="0" hierarchy="2"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2" memberValueDatatype="130" unbalanced="0">
      <fieldsUsage count="2">
        <fieldUsage x="-1"/>
        <fieldUsage x="0"/>
      </fieldsUsage>
    </cacheHierarchy>
    <cacheHierarchy uniqueName="[Table1].[Products]" caption="Products" attribute="1" defaultMemberUniqueName="[Table1].[Products].[All]" allUniqueName="[Table1].[Products].[All]" dimensionUniqueName="[Table1]" displayFolder="" count="2" memberValueDatatype="130" unbalanced="0">
      <fieldsUsage count="2">
        <fieldUsage x="-1"/>
        <fieldUsage x="2"/>
      </fieldsUsage>
    </cacheHierarchy>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2.437843518521" backgroundQuery="1" createdVersion="8" refreshedVersion="8" minRefreshableVersion="3" recordCount="0" supportSubquery="1" supportAdvancedDrill="1" xr:uid="{C98404AF-99FC-4E20-92CF-6E54C722B977}">
  <cacheSource type="external" connectionId="1"/>
  <cacheFields count="4">
    <cacheField name="[Measures].[Count of Date]" caption="Count of Date" numFmtId="0" hierarchy="17" level="32767"/>
    <cacheField name="[Measures].[Sum of Units]" caption="Sum of Units" numFmtId="0" hierarchy="15" level="32767"/>
    <cacheField name="[Measures].[Sum of Amount]" caption="Sum of Amount" numFmtId="0" hierarchy="13" level="32767"/>
    <cacheField name="[Table1].[Place].[Place]" caption="Place" numFmtId="0" hierarchy="3" level="1">
      <sharedItems count="6">
        <s v="Bapatla"/>
        <s v="Chirala"/>
        <s v="Guntur"/>
        <s v="Ongole"/>
        <s v="Tenali"/>
        <s v="Vijayawada"/>
      </sharedItems>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0" memberValueDatatype="130" unbalanced="0"/>
    <cacheHierarchy uniqueName="[Table1].[Place]" caption="Place" attribute="1" defaultMemberUniqueName="[Table1].[Place].[All]" allUniqueName="[Table1].[Place].[All]" dimensionUniqueName="[Table1]" displayFolder="" count="2" memberValueDatatype="130" unbalanced="0">
      <fieldsUsage count="2">
        <fieldUsage x="-1"/>
        <fieldUsage x="3"/>
      </fieldsUsage>
    </cacheHierarchy>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841404282408" backgroundQuery="1" createdVersion="8" refreshedVersion="8" minRefreshableVersion="3" recordCount="0" supportSubquery="1" supportAdvancedDrill="1" xr:uid="{62DD3DC7-7AC3-4DD2-A54C-1F987D666887}">
  <cacheSource type="external" connectionId="1"/>
  <cacheFields count="4">
    <cacheField name="[Measures].[Count of Date]" caption="Count of Date" numFmtId="0" hierarchy="17" level="32767"/>
    <cacheField name="[Measures].[Sum of Units]" caption="Sum of Units" numFmtId="0" hierarchy="15" level="32767"/>
    <cacheField name="[Measures].[Sum of Amount]" caption="Sum of Amount" numFmtId="0" hierarchy="13" level="32767"/>
    <cacheField name="[Table1].[Place].[Place]" caption="Place" numFmtId="0" hierarchy="3" level="1">
      <sharedItems count="6">
        <s v="Bapatla"/>
        <s v="Chirala"/>
        <s v="Guntur"/>
        <s v="Ongole"/>
        <s v="Tenali"/>
        <s v="Vijayawada"/>
      </sharedItems>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0" memberValueDatatype="130" unbalanced="0"/>
    <cacheHierarchy uniqueName="[Table1].[Place]" caption="Place" attribute="1" defaultMemberUniqueName="[Table1].[Place].[All]" allUniqueName="[Table1].[Place].[All]" dimensionUniqueName="[Table1]" displayFolder="" count="2" memberValueDatatype="130" unbalanced="0">
      <fieldsUsage count="2">
        <fieldUsage x="-1"/>
        <fieldUsage x="3"/>
      </fieldsUsage>
    </cacheHierarchy>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838289583335" backgroundQuery="1" createdVersion="8" refreshedVersion="8" minRefreshableVersion="3" recordCount="0" supportSubquery="1" supportAdvancedDrill="1" xr:uid="{79B6EC94-1B97-4CAE-8B3C-B0BD9FDDD6EA}">
  <cacheSource type="external" connectionId="1"/>
  <cacheFields count="2">
    <cacheField name="[Measures].[Sum of Amount]" caption="Sum of Amount" numFmtId="0" hierarchy="13" level="32767"/>
    <cacheField name="[Table1].[Products].[Products]" caption="Products" numFmtId="0" hierarchy="2" level="1">
      <sharedItems count="6">
        <s v="4K LED TV's"/>
        <s v="Furniture"/>
        <s v="Laptops"/>
        <s v="LED TV's"/>
        <s v="Mobiles"/>
        <s v="Speakers"/>
      </sharedItems>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fieldsUsage count="2">
        <fieldUsage x="-1"/>
        <fieldUsage x="1"/>
      </fieldsUsage>
    </cacheHierarchy>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838291319444" backgroundQuery="1" createdVersion="8" refreshedVersion="8" minRefreshableVersion="3" recordCount="0" supportSubquery="1" supportAdvancedDrill="1" xr:uid="{B4F6046C-1FE9-48D0-B6CB-502F5EE914A3}">
  <cacheSource type="external" connectionId="1"/>
  <cacheFields count="2">
    <cacheField name="[Table1].[Products].[Products]" caption="Products" numFmtId="0" hierarchy="2" level="1">
      <sharedItems count="6">
        <s v="4K LED TV's"/>
        <s v="Furniture"/>
        <s v="Laptops"/>
        <s v="LED TV's"/>
        <s v="Mobiles"/>
        <s v="Speakers"/>
      </sharedItems>
    </cacheField>
    <cacheField name="[Measures].[Sum of Units]" caption="Sum of Units" numFmtId="0" hierarchy="15" level="32767"/>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fieldsUsage count="2">
        <fieldUsage x="-1"/>
        <fieldUsage x="0"/>
      </fieldsUsage>
    </cacheHierarchy>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3.838290740743" backgroundQuery="1" createdVersion="8" refreshedVersion="8" minRefreshableVersion="3" recordCount="0" supportSubquery="1" supportAdvancedDrill="1" xr:uid="{5032F378-74D4-4E9C-AAF3-ACDB91397A6B}">
  <cacheSource type="external" connectionId="1"/>
  <cacheFields count="2">
    <cacheField name="[Table1].[Products].[Products]" caption="Products" numFmtId="0" hierarchy="2" level="1">
      <sharedItems count="6">
        <s v="4K LED TV's"/>
        <s v="Furniture"/>
        <s v="Laptops"/>
        <s v="LED TV's"/>
        <s v="Mobiles"/>
        <s v="Speakers"/>
      </sharedItems>
    </cacheField>
    <cacheField name="[Measures].[Sum of Units]" caption="Sum of Units" numFmtId="0" hierarchy="15" level="32767"/>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fieldsUsage count="2">
        <fieldUsage x="-1"/>
        <fieldUsage x="0"/>
      </fieldsUsage>
    </cacheHierarchy>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4.75753703704" backgroundQuery="1" createdVersion="8" refreshedVersion="8" minRefreshableVersion="3" recordCount="0" supportSubquery="1" supportAdvancedDrill="1" xr:uid="{7A44207C-AAB3-416A-B1FF-07F205C88B2B}">
  <cacheSource type="external" connectionId="1"/>
  <cacheFields count="3">
    <cacheField name="[Measures].[Count of Date]" caption="Count of Date" numFmtId="0" hierarchy="17" level="32767"/>
    <cacheField name="[Measures].[Sum of Units]" caption="Sum of Units" numFmtId="0" hierarchy="15" level="32767"/>
    <cacheField name="[Measures].[Sum of Amount]" caption="Sum of Amount" numFmtId="0" hierarchy="13" level="32767"/>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0" memberValueDatatype="130" unbalanced="0"/>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4.758276736109" backgroundQuery="1" createdVersion="8" refreshedVersion="8" minRefreshableVersion="3" recordCount="0" supportSubquery="1" supportAdvancedDrill="1" xr:uid="{A2928B0B-C6DB-4F6A-92E3-B5C044DCF065}">
  <cacheSource type="external" connectionId="1"/>
  <cacheFields count="1">
    <cacheField name="[Measures].[Average of Amount]" caption="Average of Amount" numFmtId="0" hierarchy="20" level="32767"/>
  </cacheFields>
  <cacheHierarchies count="21">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0" memberValueDatatype="130" unbalanced="0"/>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6.33025324074" backgroundQuery="1" createdVersion="8" refreshedVersion="8" minRefreshableVersion="3" recordCount="0" supportSubquery="1" supportAdvancedDrill="1" xr:uid="{22ECE1D4-2B00-4AC3-8B56-A7C156E2ADC2}">
  <cacheSource type="external" connectionId="1"/>
  <cacheFields count="2">
    <cacheField name="[Measures].[Sum of Amount]" caption="Sum of Amount" numFmtId="0" hierarchy="13" level="32767"/>
    <cacheField name="[Table1].[Date (Month)].[Date (Month)]" caption="Date (Month)" numFmtId="0" hierarchy="9" level="1">
      <sharedItems count="12">
        <s v="Jan"/>
        <s v="Feb"/>
        <s v="Mar"/>
        <s v="Apr"/>
        <s v="May"/>
        <s v="Jun"/>
        <s v="Jul"/>
        <s v="Aug"/>
        <s v="Sep"/>
        <s v="Oct"/>
        <s v="Nov"/>
        <s v="Dec"/>
      </sharedItems>
    </cacheField>
  </cacheFields>
  <cacheHierarchies count="21">
    <cacheHierarchy uniqueName="[Table1].[Date]" caption="Date" attribute="1" time="1" defaultMemberUniqueName="[Table1].[Date].[All]" allUniqueName="[Table1].[Date].[All]" dimensionUniqueName="[Table1]" displayFolder="" count="2"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6.330253819448" backgroundQuery="1" createdVersion="8" refreshedVersion="8" minRefreshableVersion="3" recordCount="0" supportSubquery="1" supportAdvancedDrill="1" xr:uid="{24E5C715-4030-459A-8051-635972486772}">
  <cacheSource type="external" connectionId="1"/>
  <cacheFields count="2">
    <cacheField name="[Table1].[Products].[Products]" caption="Products" numFmtId="0" hierarchy="2" level="1">
      <sharedItems count="6">
        <s v="4K LED TV's"/>
        <s v="Furniture"/>
        <s v="Laptops"/>
        <s v="LED TV's"/>
        <s v="Mobiles"/>
        <s v="Speakers"/>
      </sharedItems>
    </cacheField>
    <cacheField name="[Measures].[Sum of Units]" caption="Sum of Units" numFmtId="0" hierarchy="15" level="32767"/>
  </cacheFields>
  <cacheHierarchies count="21">
    <cacheHierarchy uniqueName="[Table1].[Date]" caption="Date" attribute="1" time="1" defaultMemberUniqueName="[Table1].[Date].[All]" allUniqueName="[Table1].[Date].[All]" dimensionUniqueName="[Table1]" displayFolder="" count="2"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fieldsUsage count="2">
        <fieldUsage x="-1"/>
        <fieldUsage x="0"/>
      </fieldsUsage>
    </cacheHierarchy>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6.330254282409" backgroundQuery="1" createdVersion="8" refreshedVersion="8" minRefreshableVersion="3" recordCount="0" supportSubquery="1" supportAdvancedDrill="1" xr:uid="{CC6CAFAC-2C4C-4714-A7FD-C7E213F441DB}">
  <cacheSource type="external" connectionId="1"/>
  <cacheFields count="2">
    <cacheField name="[Table1].[Products].[Products]" caption="Products" numFmtId="0" hierarchy="2" level="1">
      <sharedItems count="6">
        <s v="4K LED TV's"/>
        <s v="Furniture"/>
        <s v="Laptops"/>
        <s v="LED TV's"/>
        <s v="Mobiles"/>
        <s v="Speakers"/>
      </sharedItems>
    </cacheField>
    <cacheField name="[Measures].[Sum of Units]" caption="Sum of Units" numFmtId="0" hierarchy="15" level="32767"/>
  </cacheFields>
  <cacheHierarchies count="21">
    <cacheHierarchy uniqueName="[Table1].[Date]" caption="Date" attribute="1" time="1" defaultMemberUniqueName="[Table1].[Date].[All]" allUniqueName="[Table1].[Date].[All]" dimensionUniqueName="[Table1]" displayFolder="" count="2"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fieldsUsage count="2">
        <fieldUsage x="-1"/>
        <fieldUsage x="0"/>
      </fieldsUsage>
    </cacheHierarchy>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y uniqueName="[Measures].[Sum of Units]" caption="Sum of Unit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Table1"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0"/>
        </ext>
      </extLst>
    </cacheHierarchy>
    <cacheHierarchy uniqueName="[Measures].[Count of Products]" caption="Count of Products" measure="1" displayFolder="" measureGroup="Table1" count="0" hidden="1">
      <extLst>
        <ext xmlns:x15="http://schemas.microsoft.com/office/spreadsheetml/2010/11/main" uri="{B97F6D7D-B522-45F9-BDA1-12C45D357490}">
          <x15:cacheHierarchy aggregatedColumn="2"/>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5.466582870373" backgroundQuery="1" createdVersion="3" refreshedVersion="8" minRefreshableVersion="3" recordCount="0" supportSubquery="1" supportAdvancedDrill="1" xr:uid="{9B355334-1CF9-4045-AAE5-BBB385C5F84C}">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cacheHierarchy uniqueName="[Table1].[Place]" caption="Place" attribute="1" defaultMemberUniqueName="[Table1].[Place].[All]" allUniqueName="[Table1].[Place].[All]" dimensionUniqueName="[Table1]" displayFolder="" count="2"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68432402"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5.466588078707" backgroundQuery="1" createdVersion="3" refreshedVersion="8" minRefreshableVersion="3" recordCount="0" supportSubquery="1" supportAdvancedDrill="1" xr:uid="{07237422-47B5-4CAB-A20D-359F06098A47}">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Date]" caption="Date" attribute="1" time="1" defaultMemberUniqueName="[Table1].[Date].[All]" allUniqueName="[Table1].[Date].[All]" dimensionUniqueName="[Table1]" displayFolder="" count="2"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0" memberValueDatatype="130" unbalanced="0"/>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717368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A2E45E-AAFC-46C1-A447-8200ADA0C0E0}" name="PivotTable18"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4:C4" firstHeaderRow="1" firstDataRow="1" firstDataCol="1"/>
  <pivotFields count="6">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pivotField axis="axisRow" allDrilled="1" subtotalTop="0" showAll="0" dataSourceSort="1" defaultSubtotal="0" defaultAttributeDrillState="1"/>
    <pivotField dataField="1" subtotalTop="0" showAll="0" defaultSubtotal="0"/>
    <pivotField axis="axisRow" allDrilled="1" subtotalTop="0" showAll="0" dataSourceSort="1" defaultSubtotal="0" defaultAttributeDrillState="1"/>
  </pivotFields>
  <rowFields count="3">
    <field x="2"/>
    <field x="5"/>
    <field x="3"/>
  </rowFields>
  <dataFields count="1">
    <dataField name="Sum of Amount" fld="4" baseField="0" baseItem="0"/>
  </dataFields>
  <pivotHierarchies count="21">
    <pivotHierarchy dragToData="1"/>
    <pivotHierarchy dragToData="1"/>
    <pivotHierarchy multipleItemSelectionAllowed="1" dragToData="1"/>
    <pivotHierarchy multipleItemSelectionAllowed="1" dragToData="1">
      <members count="1" level="1">
        <member name="[Table1].[Place].&amp;[Ongole]"/>
      </members>
    </pivotHierarchy>
    <pivotHierarchy dragToData="1"/>
    <pivotHierarchy dragToData="1"/>
    <pivotHierarchy dragToData="1"/>
    <pivotHierarchy dragToData="1"/>
    <pivotHierarchy dragToData="1"/>
    <pivotHierarchy multipleItemSelectionAllowed="1" dragToData="1">
      <members count="1" level="1">
        <member name="[Table1].[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6" name="[Table1].[Date]">
      <autoFilter ref="A1">
        <filterColumn colId="0">
          <customFilters and="1">
            <customFilter operator="greaterThanOrEqual" val="44044"/>
            <customFilter operator="lessThanOrEqual" val="44074"/>
          </customFilters>
        </filterColumn>
      </autoFilter>
      <extLst>
        <ext xmlns:x15="http://schemas.microsoft.com/office/spreadsheetml/2010/11/main" uri="{0605FD5F-26C8-4aeb-8148-2DB25E43C511}">
          <x15:pivotFilter useWholeDay="1"/>
        </ext>
      </extLst>
    </filter>
  </filters>
  <rowHierarchiesUsage count="3">
    <rowHierarchyUsage hierarchyUsage="3"/>
    <rowHierarchyUsage hierarchyUsage="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2A9FBC-D6E0-4F76-8D2B-7F0BF0EF6403}" name="PivotTable21"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0">
  <location ref="B107:C111" firstHeaderRow="1" firstDataRow="1" firstDataCol="1"/>
  <pivotFields count="3">
    <pivotField axis="axisRow" allDrilled="1" subtotalTop="0" showAll="0" measureFilter="1"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Units" fld="1" baseField="0" baseItem="0"/>
  </dataFields>
  <chartFormats count="6">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0" count="1" selected="0">
            <x v="0"/>
          </reference>
        </references>
      </pivotArea>
    </chartFormat>
    <chartFormat chart="37" format="4">
      <pivotArea type="data" outline="0" fieldPosition="0">
        <references count="2">
          <reference field="4294967294" count="1" selected="0">
            <x v="0"/>
          </reference>
          <reference field="0" count="1" selected="0">
            <x v="1"/>
          </reference>
        </references>
      </pivotArea>
    </chartFormat>
    <chartFormat chart="37" format="5">
      <pivotArea type="data" outline="0" fieldPosition="0">
        <references count="2">
          <reference field="4294967294" count="1" selected="0">
            <x v="0"/>
          </reference>
          <reference field="0" count="1" selected="0">
            <x v="2"/>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3">
      <autoFilter ref="A1">
        <filterColumn colId="0">
          <top10 val="3" filterVal="3"/>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937E47-5F43-4CD7-9947-E7A2A04F058E}" name="PivotTable5" cacheId="2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146:E147" firstHeaderRow="1" firstDataRow="1" firstDataCol="0"/>
  <pivotFields count="1">
    <pivotField dataField="1" subtotalTop="0" showAll="0" defaultSubtotal="0"/>
  </pivotFields>
  <rowItems count="1">
    <i/>
  </rowItems>
  <colItems count="1">
    <i/>
  </colItems>
  <dataFields count="1">
    <dataField name="Average of Amount" fld="0" subtotal="average" baseField="0" baseItem="0" numFmtId="43"/>
  </dataFields>
  <formats count="1">
    <format dxfId="0">
      <pivotArea outline="0" collapsedLevelsAreSubtotals="1" fieldPosition="0"/>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F980C0-EF5F-4A9B-9541-D985D97AA8E8}" name="PivotTable22"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B118:C122" firstHeaderRow="1" firstDataRow="1" firstDataCol="1"/>
  <pivotFields count="3">
    <pivotField axis="axisRow" allDrilled="1" subtotalTop="0" showAll="0" measureFilter="1" sortType="a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name="Sum of Units" fld="1" baseField="0" baseItem="0"/>
  </dataFields>
  <chartFormats count="9">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0" count="1" selected="0">
            <x v="1"/>
          </reference>
        </references>
      </pivotArea>
    </chartFormat>
    <chartFormat chart="27" format="4">
      <pivotArea type="data" outline="0" fieldPosition="0">
        <references count="2">
          <reference field="4294967294" count="1" selected="0">
            <x v="0"/>
          </reference>
          <reference field="0" count="1" selected="0">
            <x v="2"/>
          </reference>
        </references>
      </pivotArea>
    </chartFormat>
    <chartFormat chart="27" format="5">
      <pivotArea type="data" outline="0" fieldPosition="0">
        <references count="2">
          <reference field="4294967294" count="1" selected="0">
            <x v="0"/>
          </reference>
          <reference field="0" count="1" selected="0">
            <x v="0"/>
          </reference>
        </references>
      </pivotArea>
    </chartFormat>
    <chartFormat chart="27" format="6">
      <pivotArea type="data" outline="0" fieldPosition="0">
        <references count="2">
          <reference field="4294967294" count="1" selected="0">
            <x v="0"/>
          </reference>
          <reference field="0" count="1" selected="0">
            <x v="5"/>
          </reference>
        </references>
      </pivotArea>
    </chartFormat>
    <chartFormat chart="27" format="7">
      <pivotArea type="data" outline="0" fieldPosition="0">
        <references count="2">
          <reference field="4294967294" count="1" selected="0">
            <x v="0"/>
          </reference>
          <reference field="0" count="1" selected="0">
            <x v="4"/>
          </reference>
        </references>
      </pivotArea>
    </chartFormat>
    <chartFormat chart="27" format="8">
      <pivotArea type="data" outline="0" fieldPosition="0">
        <references count="2">
          <reference field="4294967294" count="1" selected="0">
            <x v="0"/>
          </reference>
          <reference field="0" count="1" selected="0">
            <x v="3"/>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3">
      <autoFilter ref="A1">
        <filterColumn colId="0">
          <top10 top="0" val="3" filterVal="3"/>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CF16B5-C03F-4ECA-9A60-6E7FEC4878E4}" name="PivotTable3"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B32:C4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Amount" fld="1" baseField="0" baseItem="0"/>
  </dataFields>
  <chartFormats count="1">
    <chartFormat chart="1" format="0"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ACC525-1DC7-47B3-A7D1-2CFA3133713C}" name="PivotTable17"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B93:C100"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Amount" fld="0" baseField="0" baseItem="0"/>
  </dataFields>
  <chartFormats count="8">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B5D183-049B-42F0-8FD4-994D468E2B25}" name="PivotTable18" cacheId="2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4">
  <location ref="E94:F101"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Units" fld="1" baseField="0" baseItem="0"/>
  </dataFields>
  <chartFormats count="7">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0" count="1" selected="0">
            <x v="2"/>
          </reference>
        </references>
      </pivotArea>
    </chartFormat>
    <chartFormat chart="23" format="4">
      <pivotArea type="data" outline="0" fieldPosition="0">
        <references count="2">
          <reference field="4294967294" count="1" selected="0">
            <x v="0"/>
          </reference>
          <reference field="0" count="1" selected="0">
            <x v="0"/>
          </reference>
        </references>
      </pivotArea>
    </chartFormat>
    <chartFormat chart="23" format="5">
      <pivotArea type="data" outline="0" fieldPosition="0">
        <references count="2">
          <reference field="4294967294" count="1" selected="0">
            <x v="0"/>
          </reference>
          <reference field="0" count="1" selected="0">
            <x v="5"/>
          </reference>
        </references>
      </pivotArea>
    </chartFormat>
    <chartFormat chart="23" format="6">
      <pivotArea type="data" outline="0" fieldPosition="0">
        <references count="2">
          <reference field="4294967294" count="1" selected="0">
            <x v="0"/>
          </reference>
          <reference field="0" count="1" selected="0">
            <x v="4"/>
          </reference>
        </references>
      </pivotArea>
    </chartFormat>
    <chartFormat chart="23" format="7">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472066-B332-49EE-AF1C-4D553287200E}" name="PivotTable1" cacheId="2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B145:D146"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Count of Date" fld="0" subtotal="count" baseField="0" baseItem="0"/>
    <dataField name="Sum of Units" fld="1" baseField="0" baseItem="0"/>
    <dataField name="Sum of Amount" fld="2" baseField="0" baseItem="2"/>
  </dataFields>
  <formats count="3">
    <format dxfId="3">
      <pivotArea type="all" dataOnly="0" outline="0" fieldPosition="0"/>
    </format>
    <format dxfId="2">
      <pivotArea outline="0" collapsedLevelsAreSubtotals="1" fieldPosition="0"/>
    </format>
    <format dxfId="1">
      <pivotArea outline="0" collapsedLevelsAreSubtotals="1" fieldPosition="0"/>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pivotHierarchy dragToData="1"/>
    <pivotHierarchy dragToData="1"/>
    <pivotHierarchy dragToData="1" caption="Average of Amount"/>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0411F8-9516-4123-9194-C3384E237FBB}" name="PivotTable15" cacheId="2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5">
  <location ref="B76:C83" firstHeaderRow="1" firstDataRow="1" firstDataCol="1"/>
  <pivotFields count="2">
    <pivotField axis="axisRow"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2"/>
    </i>
    <i>
      <x/>
    </i>
    <i>
      <x v="5"/>
    </i>
    <i>
      <x v="1"/>
    </i>
    <i>
      <x v="4"/>
    </i>
    <i>
      <x v="3"/>
    </i>
    <i t="grand">
      <x/>
    </i>
  </rowItems>
  <colItems count="1">
    <i/>
  </colItems>
  <dataFields count="1">
    <dataField name="Sum of Units" fld="1" baseField="0" baseItem="0"/>
  </dataFields>
  <chartFormats count="1">
    <chartFormat chart="22" format="0"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41BD3B-99A4-4992-9973-7491A00240B2}" name="PivotTable6" cacheId="2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location ref="B3:C16"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Amount" fld="0"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1A7F38-7515-4454-8723-CF5D00D12274}" name="PivotTable16" cacheId="1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4">
  <location ref="B86:C88" firstHeaderRow="1" firstDataRow="1" firstDataCol="1"/>
  <pivotFields count="2">
    <pivotField axis="axisRow" allDrilled="1" subtotalTop="0" showAll="0" sortType="ascending" dataSourceSort="1"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Sum of Units" fld="1"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8E06A3-00AE-486F-9FEA-FAF6D207D6BD}" name="PivotTable4"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B162:C169"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Units" fld="0" baseField="0" baseItem="0"/>
  </dataFields>
  <formats count="10">
    <format dxfId="13">
      <pivotArea type="all" dataOnly="0" outline="0" fieldPosition="0"/>
    </format>
    <format dxfId="12">
      <pivotArea outline="0" collapsedLevelsAreSubtotals="1" fieldPosition="0"/>
    </format>
    <format dxfId="11">
      <pivotArea outline="0" collapsedLevelsAreSubtotals="1"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2" type="button" dataOnly="0" labelOnly="1" outline="0" axis="axisValues" fieldPosition="0"/>
    </format>
    <format dxfId="6">
      <pivotArea type="topRight" dataOnly="0" labelOnly="1" outline="0" fieldPosition="0"/>
    </format>
    <format dxfId="5">
      <pivotArea dataOnly="0" labelOnly="1" grandRow="1" outline="0" fieldPosition="0"/>
    </format>
    <format dxfId="4">
      <pivotArea dataOnly="0" labelOnly="1" outline="0" fieldPosition="0">
        <references count="1">
          <reference field="4294967294" count="1">
            <x v="0"/>
          </reference>
        </references>
      </pivotArea>
    </format>
  </formats>
  <chartFormats count="1">
    <chartFormat chart="18"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3EB7A82-450E-4B22-A217-74493417B2D6}" name="PivotTable7" cacheId="2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8">
  <location ref="B20:C27"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Amount" fld="0" baseField="0" baseItem="0"/>
  </dataFields>
  <chartFormats count="10">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2"/>
          </reference>
        </references>
      </pivotArea>
    </chartFormat>
    <chartFormat chart="10" format="4">
      <pivotArea type="data" outline="0" fieldPosition="0">
        <references count="2">
          <reference field="4294967294" count="1" selected="0">
            <x v="0"/>
          </reference>
          <reference field="1" count="1" selected="0">
            <x v="0"/>
          </reference>
        </references>
      </pivotArea>
    </chartFormat>
    <chartFormat chart="10" format="5">
      <pivotArea type="data" outline="0" fieldPosition="0">
        <references count="2">
          <reference field="4294967294" count="1" selected="0">
            <x v="0"/>
          </reference>
          <reference field="1" count="1" selected="0">
            <x v="4"/>
          </reference>
        </references>
      </pivotArea>
    </chartFormat>
    <chartFormat chart="10" format="6">
      <pivotArea type="data" outline="0" fieldPosition="0">
        <references count="2">
          <reference field="4294967294" count="1" selected="0">
            <x v="0"/>
          </reference>
          <reference field="1" count="1" selected="0">
            <x v="3"/>
          </reference>
        </references>
      </pivotArea>
    </chartFormat>
    <chartFormat chart="10" format="7">
      <pivotArea type="data" outline="0" fieldPosition="0">
        <references count="2">
          <reference field="4294967294" count="1" selected="0">
            <x v="0"/>
          </reference>
          <reference field="1" count="1" selected="0">
            <x v="1"/>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CF82528-97AC-411E-A8DD-57084BEE738A}" name="PivotTable14" cacheId="1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4">
  <location ref="B69" firstHeaderRow="0" firstDataRow="0" firstDataCol="0"/>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Units" fld="1" baseField="0" baseItem="0"/>
  </dataFields>
  <chartFormats count="1">
    <chartFormat chart="21" format="0"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7AF19A1-79AF-4D9F-A6E5-39FE3EFF8610}" name="PivotTable23" cacheId="2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0">
  <location ref="B127:C134"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Units" fld="1" baseField="0" baseItem="0"/>
  </dataFields>
  <chartFormats count="6">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0" count="1" selected="0">
            <x v="0"/>
          </reference>
        </references>
      </pivotArea>
    </chartFormat>
    <chartFormat chart="22" format="4">
      <pivotArea type="data" outline="0" fieldPosition="0">
        <references count="2">
          <reference field="4294967294" count="1" selected="0">
            <x v="0"/>
          </reference>
          <reference field="0" count="1" selected="0">
            <x v="3"/>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A42791A-9954-4571-A711-52FBE3859DCF}" name="PivotTable2"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3">
  <location ref="B151:E158"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2"/>
  </colFields>
  <colItems count="3">
    <i>
      <x/>
    </i>
    <i i="1">
      <x v="1"/>
    </i>
    <i i="2">
      <x v="2"/>
    </i>
  </colItems>
  <dataFields count="3">
    <dataField name="Count of Date" fld="0" subtotal="count" baseField="0" baseItem="0"/>
    <dataField name="Sum of Units" fld="1" baseField="0" baseItem="0"/>
    <dataField name="Sum of Amount" fld="2" baseField="0" baseItem="0"/>
  </dataFields>
  <formats count="3">
    <format dxfId="16">
      <pivotArea type="all" dataOnly="0" outline="0" fieldPosition="0"/>
    </format>
    <format dxfId="15">
      <pivotArea outline="0" collapsedLevelsAreSubtotals="1" fieldPosition="0"/>
    </format>
    <format dxfId="14">
      <pivotArea outline="0" collapsedLevelsAreSubtotals="1" fieldPosition="0"/>
    </format>
  </formats>
  <chartFormats count="30">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 chart="28" format="3"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1"/>
          </reference>
        </references>
      </pivotArea>
    </chartFormat>
    <chartFormat chart="28" format="5" series="1">
      <pivotArea type="data" outline="0" fieldPosition="0">
        <references count="1">
          <reference field="4294967294" count="1" selected="0">
            <x v="2"/>
          </reference>
        </references>
      </pivotArea>
    </chartFormat>
    <chartFormat chart="29" format="6"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1"/>
          </reference>
        </references>
      </pivotArea>
    </chartFormat>
    <chartFormat chart="29" format="8" series="1">
      <pivotArea type="data" outline="0" fieldPosition="0">
        <references count="1">
          <reference field="4294967294" count="1" selected="0">
            <x v="2"/>
          </reference>
        </references>
      </pivotArea>
    </chartFormat>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43" format="2" series="1">
      <pivotArea type="data" outline="0" fieldPosition="0">
        <references count="1">
          <reference field="4294967294" count="1" selected="0">
            <x v="2"/>
          </reference>
        </references>
      </pivotArea>
    </chartFormat>
    <chartFormat chart="17" format="3">
      <pivotArea type="data" outline="0" fieldPosition="0">
        <references count="2">
          <reference field="4294967294" count="1" selected="0">
            <x v="0"/>
          </reference>
          <reference field="3" count="1" selected="0">
            <x v="0"/>
          </reference>
        </references>
      </pivotArea>
    </chartFormat>
    <chartFormat chart="17" format="4">
      <pivotArea type="data" outline="0" fieldPosition="0">
        <references count="2">
          <reference field="4294967294" count="1" selected="0">
            <x v="0"/>
          </reference>
          <reference field="3" count="1" selected="0">
            <x v="1"/>
          </reference>
        </references>
      </pivotArea>
    </chartFormat>
    <chartFormat chart="17" format="5">
      <pivotArea type="data" outline="0" fieldPosition="0">
        <references count="2">
          <reference field="4294967294" count="1" selected="0">
            <x v="0"/>
          </reference>
          <reference field="3" count="1" selected="0">
            <x v="2"/>
          </reference>
        </references>
      </pivotArea>
    </chartFormat>
    <chartFormat chart="17" format="6">
      <pivotArea type="data" outline="0" fieldPosition="0">
        <references count="2">
          <reference field="4294967294" count="1" selected="0">
            <x v="0"/>
          </reference>
          <reference field="3" count="1" selected="0">
            <x v="3"/>
          </reference>
        </references>
      </pivotArea>
    </chartFormat>
    <chartFormat chart="17" format="7">
      <pivotArea type="data" outline="0" fieldPosition="0">
        <references count="2">
          <reference field="4294967294" count="1" selected="0">
            <x v="0"/>
          </reference>
          <reference field="3" count="1" selected="0">
            <x v="4"/>
          </reference>
        </references>
      </pivotArea>
    </chartFormat>
    <chartFormat chart="17" format="8">
      <pivotArea type="data" outline="0" fieldPosition="0">
        <references count="2">
          <reference field="4294967294" count="1" selected="0">
            <x v="0"/>
          </reference>
          <reference field="3" count="1" selected="0">
            <x v="5"/>
          </reference>
        </references>
      </pivotArea>
    </chartFormat>
    <chartFormat chart="17" format="9">
      <pivotArea type="data" outline="0" fieldPosition="0">
        <references count="2">
          <reference field="4294967294" count="1" selected="0">
            <x v="1"/>
          </reference>
          <reference field="3" count="1" selected="0">
            <x v="0"/>
          </reference>
        </references>
      </pivotArea>
    </chartFormat>
    <chartFormat chart="17" format="10">
      <pivotArea type="data" outline="0" fieldPosition="0">
        <references count="2">
          <reference field="4294967294" count="1" selected="0">
            <x v="1"/>
          </reference>
          <reference field="3" count="1" selected="0">
            <x v="1"/>
          </reference>
        </references>
      </pivotArea>
    </chartFormat>
    <chartFormat chart="17" format="11">
      <pivotArea type="data" outline="0" fieldPosition="0">
        <references count="2">
          <reference field="4294967294" count="1" selected="0">
            <x v="1"/>
          </reference>
          <reference field="3" count="1" selected="0">
            <x v="2"/>
          </reference>
        </references>
      </pivotArea>
    </chartFormat>
    <chartFormat chart="17" format="12">
      <pivotArea type="data" outline="0" fieldPosition="0">
        <references count="2">
          <reference field="4294967294" count="1" selected="0">
            <x v="1"/>
          </reference>
          <reference field="3" count="1" selected="0">
            <x v="3"/>
          </reference>
        </references>
      </pivotArea>
    </chartFormat>
    <chartFormat chart="17" format="13">
      <pivotArea type="data" outline="0" fieldPosition="0">
        <references count="2">
          <reference field="4294967294" count="1" selected="0">
            <x v="1"/>
          </reference>
          <reference field="3" count="1" selected="0">
            <x v="4"/>
          </reference>
        </references>
      </pivotArea>
    </chartFormat>
    <chartFormat chart="17" format="14">
      <pivotArea type="data" outline="0" fieldPosition="0">
        <references count="2">
          <reference field="4294967294" count="1" selected="0">
            <x v="1"/>
          </reference>
          <reference field="3" count="1" selected="0">
            <x v="5"/>
          </reference>
        </references>
      </pivotArea>
    </chartFormat>
    <chartFormat chart="17" format="15">
      <pivotArea type="data" outline="0" fieldPosition="0">
        <references count="2">
          <reference field="4294967294" count="1" selected="0">
            <x v="2"/>
          </reference>
          <reference field="3" count="1" selected="0">
            <x v="0"/>
          </reference>
        </references>
      </pivotArea>
    </chartFormat>
    <chartFormat chart="17" format="16">
      <pivotArea type="data" outline="0" fieldPosition="0">
        <references count="2">
          <reference field="4294967294" count="1" selected="0">
            <x v="2"/>
          </reference>
          <reference field="3" count="1" selected="0">
            <x v="1"/>
          </reference>
        </references>
      </pivotArea>
    </chartFormat>
    <chartFormat chart="17" format="17">
      <pivotArea type="data" outline="0" fieldPosition="0">
        <references count="2">
          <reference field="4294967294" count="1" selected="0">
            <x v="2"/>
          </reference>
          <reference field="3" count="1" selected="0">
            <x v="2"/>
          </reference>
        </references>
      </pivotArea>
    </chartFormat>
    <chartFormat chart="17" format="18">
      <pivotArea type="data" outline="0" fieldPosition="0">
        <references count="2">
          <reference field="4294967294" count="1" selected="0">
            <x v="2"/>
          </reference>
          <reference field="3" count="1" selected="0">
            <x v="3"/>
          </reference>
        </references>
      </pivotArea>
    </chartFormat>
    <chartFormat chart="17" format="19">
      <pivotArea type="data" outline="0" fieldPosition="0">
        <references count="2">
          <reference field="4294967294" count="1" selected="0">
            <x v="2"/>
          </reference>
          <reference field="3" count="1" selected="0">
            <x v="4"/>
          </reference>
        </references>
      </pivotArea>
    </chartFormat>
    <chartFormat chart="17" format="20">
      <pivotArea type="data" outline="0" fieldPosition="0">
        <references count="2">
          <reference field="4294967294" count="1" selected="0">
            <x v="2"/>
          </reference>
          <reference field="3" count="1" selected="0">
            <x v="5"/>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DAB34AB-39E3-4F2F-A40A-AB0358156F75}" name="PivotTable12"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E60:E6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mount" fld="0" baseField="0" baseItem="0" numFmtId="164"/>
  </dataFields>
  <formats count="1">
    <format dxfId="17">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28CF113-212D-4AC1-BE4F-F79CF8732C34}" name="PivotTable8"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B199:E206"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2"/>
  </colFields>
  <colItems count="3">
    <i>
      <x/>
    </i>
    <i i="1">
      <x v="1"/>
    </i>
    <i i="2">
      <x v="2"/>
    </i>
  </colItems>
  <dataFields count="3">
    <dataField name="Count of Date" fld="0" subtotal="count" baseField="0" baseItem="0"/>
    <dataField name="Sum of Units" fld="1" baseField="0" baseItem="0"/>
    <dataField name="Sum of Amount" fld="2" baseField="0" baseItem="0"/>
  </dataFields>
  <formats count="3">
    <format dxfId="20">
      <pivotArea type="all" dataOnly="0" outline="0" fieldPosition="0"/>
    </format>
    <format dxfId="19">
      <pivotArea outline="0" collapsedLevelsAreSubtotals="1" fieldPosition="0"/>
    </format>
    <format dxfId="18">
      <pivotArea outline="0" collapsedLevelsAreSubtotals="1" fieldPosition="0"/>
    </format>
  </format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42F417B-4533-465A-8B2D-EA911F0C3E31}" name="PivotTable13"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E63:E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Amount" fld="0" subtotal="count" baseField="0" baseItem="0"/>
  </dataFields>
  <chartFormats count="5">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AC5C9F3-CD40-474E-B321-64D5A6B716CF}" name="PivotTable20" cacheId="3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4">
  <location ref="J78:K85" firstHeaderRow="1" firstDataRow="1" firstDataCol="1"/>
  <pivotFields count="2">
    <pivotField axis="axisRow" allDrilled="1" subtotalTop="0" showAll="0" sortType="a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3"/>
    </i>
    <i>
      <x v="4"/>
    </i>
    <i>
      <x v="1"/>
    </i>
    <i>
      <x v="5"/>
    </i>
    <i>
      <x/>
    </i>
    <i>
      <x v="2"/>
    </i>
    <i t="grand">
      <x/>
    </i>
  </rowItems>
  <colItems count="1">
    <i/>
  </colItems>
  <dataFields count="1">
    <dataField name="Sum of Units" fld="1" baseField="0" baseItem="0"/>
  </dataFields>
  <chartFormats count="8">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0" count="1" selected="0">
            <x v="1"/>
          </reference>
        </references>
      </pivotArea>
    </chartFormat>
    <chartFormat chart="22" format="4">
      <pivotArea type="data" outline="0" fieldPosition="0">
        <references count="2">
          <reference field="4294967294" count="1" selected="0">
            <x v="0"/>
          </reference>
          <reference field="0" count="1" selected="0">
            <x v="3"/>
          </reference>
        </references>
      </pivotArea>
    </chartFormat>
    <chartFormat chart="22" format="5">
      <pivotArea type="data" outline="0" fieldPosition="0">
        <references count="2">
          <reference field="4294967294" count="1" selected="0">
            <x v="0"/>
          </reference>
          <reference field="0" count="1" selected="0">
            <x v="5"/>
          </reference>
        </references>
      </pivotArea>
    </chartFormat>
    <chartFormat chart="22" format="6">
      <pivotArea type="data" outline="0" fieldPosition="0">
        <references count="2">
          <reference field="4294967294" count="1" selected="0">
            <x v="0"/>
          </reference>
          <reference field="0" count="1" selected="0">
            <x v="2"/>
          </reference>
        </references>
      </pivotArea>
    </chartFormat>
    <chartFormat chart="22" format="7">
      <pivotArea type="data" outline="0" fieldPosition="0">
        <references count="2">
          <reference field="4294967294" count="1" selected="0">
            <x v="0"/>
          </reference>
          <reference field="0" count="1" selected="0">
            <x v="4"/>
          </reference>
        </references>
      </pivotArea>
    </chartFormat>
    <chartFormat chart="22" format="8">
      <pivotArea type="data" outline="0" fieldPosition="0">
        <references count="2">
          <reference field="4294967294" count="1" selected="0">
            <x v="0"/>
          </reference>
          <reference field="0"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66D1E12-0C32-4C20-AD3A-940A3608F908}" name="PivotTable9"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B48:C55"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Amount" fld="0" baseField="0" baseItem="0"/>
  </dataFields>
  <chartFormats count="10">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4"/>
          </reference>
        </references>
      </pivotArea>
    </chartFormat>
    <chartFormat chart="11" format="4">
      <pivotArea type="data" outline="0" fieldPosition="0">
        <references count="2">
          <reference field="4294967294" count="1" selected="0">
            <x v="0"/>
          </reference>
          <reference field="1" count="1" selected="0">
            <x v="3"/>
          </reference>
        </references>
      </pivotArea>
    </chartFormat>
    <chartFormat chart="11" format="5">
      <pivotArea type="data" outline="0" fieldPosition="0">
        <references count="2">
          <reference field="4294967294" count="1" selected="0">
            <x v="0"/>
          </reference>
          <reference field="1" count="1" selected="0">
            <x v="1"/>
          </reference>
        </references>
      </pivotArea>
    </chartFormat>
    <chartFormat chart="11" format="6">
      <pivotArea type="data" outline="0" fieldPosition="0">
        <references count="2">
          <reference field="4294967294" count="1" selected="0">
            <x v="0"/>
          </reference>
          <reference field="1" count="1" selected="0">
            <x v="2"/>
          </reference>
        </references>
      </pivotArea>
    </chartFormat>
    <chartFormat chart="11" format="7">
      <pivotArea type="data" outline="0" fieldPosition="0">
        <references count="2">
          <reference field="4294967294" count="1" selected="0">
            <x v="0"/>
          </reference>
          <reference field="1" count="1" selected="0">
            <x v="5"/>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00E8AB5-FD23-4084-AC2B-DCC7C5B07126}" name="PivotTable19" cacheId="2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2">
  <location ref="J67:K74" firstHeaderRow="1" firstDataRow="1" firstDataCol="1"/>
  <pivotFields count="2">
    <pivotField axis="axisRow"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2"/>
    </i>
    <i>
      <x/>
    </i>
    <i>
      <x v="5"/>
    </i>
    <i>
      <x v="1"/>
    </i>
    <i>
      <x v="4"/>
    </i>
    <i>
      <x v="3"/>
    </i>
    <i t="grand">
      <x/>
    </i>
  </rowItems>
  <colItems count="1">
    <i/>
  </colItems>
  <dataFields count="1">
    <dataField name="Sum of Units" fld="1" baseField="0" baseItem="0"/>
  </dataFields>
  <chartFormats count="5">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0" count="1" selected="0">
            <x v="2"/>
          </reference>
        </references>
      </pivotArea>
    </chartFormat>
    <chartFormat chart="31" format="4">
      <pivotArea type="data" outline="0" fieldPosition="0">
        <references count="2">
          <reference field="4294967294" count="1" selected="0">
            <x v="0"/>
          </reference>
          <reference field="0" count="1" selected="0">
            <x v="0"/>
          </reference>
        </references>
      </pivotArea>
    </chartFormat>
    <chartFormat chart="31" format="5">
      <pivotArea type="data" outline="0" fieldPosition="0">
        <references count="2">
          <reference field="4294967294" count="1" selected="0">
            <x v="0"/>
          </reference>
          <reference field="0" count="1" selected="0">
            <x v="4"/>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v>Bar graph with upward trend with solid fill</v>
  </rv>
  <rv s="0">
    <v>1</v>
    <v>5</v>
    <v>User with solid fill</v>
  </rv>
  <rv s="1">
    <v>1</v>
    <v>8</v>
    <v>7</v>
    <v>7</v>
  </rv>
</rvData>
</file>

<file path=xl/richData/rdrichvaluestructure.xml><?xml version="1.0" encoding="utf-8"?>
<rvStructures xmlns="http://schemas.microsoft.com/office/spreadsheetml/2017/richdata" count="2">
  <s t="_localImage">
    <k n="_rvRel:LocalImageIdentifier" t="i"/>
    <k n="CalcOrigin" t="i"/>
    <k n="Text" t="s"/>
  </s>
  <s t="_error">
    <k n="colOffset" t="i"/>
    <k n="errorType" t="i"/>
    <k n="rwOffset" t="i"/>
    <k n="subType"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F7F778E9-2821-4C29-95E6-AAF4C526DA1F}" sourceName="[Table1].[Place]">
  <pivotTables>
    <pivotTable tabId="3" name="PivotTable18"/>
  </pivotTables>
  <data>
    <olap pivotCacheId="1268432402">
      <levels count="2">
        <level uniqueName="[Table1].[Place].[(All)]" sourceCaption="(All)" count="0"/>
        <level uniqueName="[Table1].[Place].[Place]" sourceCaption="Place" count="6">
          <ranges>
            <range startItem="0">
              <i n="[Table1].[Place].&amp;[Bapatla]" c="Bapatla"/>
              <i n="[Table1].[Place].&amp;[Chirala]" c="Chirala"/>
              <i n="[Table1].[Place].&amp;[Guntur]" c="Guntur"/>
              <i n="[Table1].[Place].&amp;[Ongole]" c="Ongole"/>
              <i n="[Table1].[Place].&amp;[Tenali]" c="Tenali"/>
              <i n="[Table1].[Place].&amp;[Vijayawada]" c="Vijayawada"/>
            </range>
          </ranges>
        </level>
      </levels>
      <selections count="1">
        <selection n="[Table1].[Place].&amp;[Ongo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635A56F-013A-488E-B745-619F49ED8D09}" sourceName="[Table1].[Date (Month)]">
  <pivotTables>
    <pivotTable tabId="3" name="PivotTable18"/>
  </pivotTables>
  <data>
    <olap pivotCacheId="1268432402">
      <levels count="2">
        <level uniqueName="[Table1].[Date (Month)].[(All)]" sourceCaption="(All)" count="0"/>
        <level uniqueName="[Table1].[Date (Month)].[Date (Month)]" sourceCaption="Date (Month)" count="12">
          <ranges>
            <range startItem="0">
              <i n="[Table1].[Date (Month)].&amp;[Jan]" c="Jan"/>
              <i n="[Table1].[Date (Month)].&amp;[Apr]" c="Apr"/>
              <i n="[Table1].[Date (Month)].&amp;[May]" c="May"/>
              <i n="[Table1].[Date (Month)].&amp;[Jul]" c="Jul"/>
              <i n="[Table1].[Date (Month)].&amp;[Aug]" c="Aug"/>
              <i n="[Table1].[Date (Month)].&amp;[Sep]" c="Sep"/>
              <i n="[Table1].[Date (Month)].&amp;[Oct]" c="Oct"/>
              <i n="[Table1].[Date (Month)].&amp;[Nov]" c="Nov"/>
              <i n="[Table1].[Date (Month)].&amp;[Dec]" c="Dec"/>
              <i n="[Table1].[Date (Month)].&amp;[Feb]" c="Feb" nd="1"/>
              <i n="[Table1].[Date (Month)].&amp;[Mar]" c="Mar" nd="1"/>
              <i n="[Table1].[Date (Month)].&amp;[Jun]" c="Jun" nd="1"/>
            </range>
          </ranges>
        </level>
      </levels>
      <selections count="1">
        <selection n="[Table1].[Date (Month)].&amp;[Jan]"/>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2" xr10:uid="{C73E4677-9176-428E-BAAD-5C62262727FE}" sourceName="[Table1].[Place]">
  <pivotTables>
    <pivotTable tabId="4" name="PivotTable9"/>
    <pivotTable tabId="4" name="PivotTable12"/>
    <pivotTable tabId="4" name="PivotTable13"/>
    <pivotTable tabId="4" name="PivotTable17"/>
    <pivotTable tabId="4" name="PivotTable21"/>
    <pivotTable tabId="4" name="PivotTable22"/>
  </pivotTables>
  <data>
    <olap pivotCacheId="1268432402">
      <levels count="2">
        <level uniqueName="[Table1].[Place].[(All)]" sourceCaption="(All)" count="0"/>
        <level uniqueName="[Table1].[Place].[Place]" sourceCaption="Place" count="6">
          <ranges>
            <range startItem="0">
              <i n="[Table1].[Place].&amp;[Bapatla]" c="Bapatla"/>
              <i n="[Table1].[Place].&amp;[Chirala]" c="Chirala"/>
              <i n="[Table1].[Place].&amp;[Guntur]" c="Guntur"/>
              <i n="[Table1].[Place].&amp;[Ongole]" c="Ongole"/>
              <i n="[Table1].[Place].&amp;[Tenali]" c="Tenali"/>
              <i n="[Table1].[Place].&amp;[Vijayawada]" c="Vijayawada"/>
            </range>
          </ranges>
        </level>
      </levels>
      <selections count="1">
        <selection n="[Table1].[Plac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1" xr10:uid="{E04AB6A3-655B-4D7F-B972-E5F35CF2F01B}" sourceName="[Table1].[Products]">
  <pivotTables>
    <pivotTable tabId="4" name="PivotTable7"/>
    <pivotTable tabId="4" name="PivotTable14"/>
    <pivotTable tabId="4" name="PivotTable15"/>
    <pivotTable tabId="4" name="PivotTable18"/>
    <pivotTable tabId="4" name="PivotTable23"/>
    <pivotTable tabId="4" name="PivotTable19"/>
    <pivotTable tabId="4" name="PivotTable20"/>
    <pivotTable tabId="4" name="PivotTable21"/>
    <pivotTable tabId="4" name="PivotTable22"/>
    <pivotTable tabId="4" name="PivotTable3"/>
    <pivotTable tabId="4" name="PivotTable6"/>
    <pivotTable tabId="4" name="PivotTable9"/>
    <pivotTable tabId="3" name="PivotTable18"/>
    <pivotTable tabId="4" name="PivotTable12"/>
    <pivotTable tabId="4" name="PivotTable13"/>
  </pivotTables>
  <data>
    <olap pivotCacheId="1268432402">
      <levels count="2">
        <level uniqueName="[Table1].[Products].[(All)]" sourceCaption="(All)" count="0"/>
        <level uniqueName="[Table1].[Products].[Products]" sourceCaption="Products" count="6">
          <ranges>
            <range startItem="0">
              <i n="[Table1].[Products].&amp;[4K LED TV's]" c="4K LED TV's"/>
              <i n="[Table1].[Products].&amp;[Furniture]" c="Furniture"/>
              <i n="[Table1].[Products].&amp;[Laptops]" c="Laptops"/>
              <i n="[Table1].[Products].&amp;[LED TV's]" c="LED TV's"/>
              <i n="[Table1].[Products].&amp;[Mobiles]" c="Mobiles"/>
              <i n="[Table1].[Products].&amp;[Speakers]" c="Speakers"/>
            </range>
          </ranges>
        </level>
      </levels>
      <selections count="1">
        <selection n="[Table1].[Product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4" xr10:uid="{AD3A2FEA-E3D6-4EC7-A882-7EA85A5B4FF3}" sourceName="[Table1].[Place]">
  <pivotTables>
    <pivotTable tabId="4" name="PivotTable8"/>
  </pivotTables>
  <data>
    <olap pivotCacheId="1268432402">
      <levels count="2">
        <level uniqueName="[Table1].[Place].[(All)]" sourceCaption="(All)" count="0"/>
        <level uniqueName="[Table1].[Place].[Place]" sourceCaption="Place" count="6">
          <ranges>
            <range startItem="0">
              <i n="[Table1].[Place].&amp;[Bapatla]" c="Bapatla"/>
              <i n="[Table1].[Place].&amp;[Chirala]" c="Chirala"/>
              <i n="[Table1].[Place].&amp;[Guntur]" c="Guntur"/>
              <i n="[Table1].[Place].&amp;[Ongole]" c="Ongole"/>
              <i n="[Table1].[Place].&amp;[Tenali]" c="Tenali"/>
              <i n="[Table1].[Place].&amp;[Vijayawada]" c="Vijayawada"/>
            </range>
          </ranges>
        </level>
      </levels>
      <selections count="1">
        <selection n="[Table1].[Pla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1" xr10:uid="{8A567A15-C821-40B7-998E-25537C3CFE00}" cache="Slicer_Place2" caption="Place" columnCount="2" level="1" rowHeight="257175"/>
  <slicer name="Products 1" xr10:uid="{39616AAE-9DD0-4047-8395-782A43DD13DE}" cache="Slicer_Products1" caption="Products" columnCount="6"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2" xr10:uid="{D39E5D9A-37CC-4D12-84C6-117C5C31BD5D}" cache="Slicer_Place2" caption="Place" columnCount="2" level="1" rowHeight="257175"/>
  <slicer name="Products 2" xr10:uid="{3E8062B5-C702-4B4A-B183-198593FD8730}" cache="Slicer_Products1" caption="Products" columnCount="6"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3" xr10:uid="{A7CF9859-ACD4-441D-815F-7B14D5664513}" cache="Slicer_Place2" caption="Place" columnCount="2" level="1" rowHeight="257175"/>
  <slicer name="Products 3" xr10:uid="{ACEF2094-ED0A-473C-BCFB-F474D54DA5E9}" cache="Slicer_Products1" caption="Products" columnCount="6"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xr10:uid="{93598F2E-8CDE-4052-BA89-C4A64798064C}" cache="Slicer_Place" caption="Place" columnCount="2" level="1" rowHeight="257175"/>
  <slicer name="Date (Month)" xr10:uid="{76887429-32A9-4F0C-AB79-530384FA89AA}" cache="Slicer_Date__Month" caption="Date (Month)" columnCount="12" level="1" rowHeight="257175"/>
  <slicer name="Products" xr10:uid="{085F2EB0-8165-462D-B16F-F5D108E78037}" cache="Slicer_Products1" caption="Products" columnCount="6" level="1"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5" xr10:uid="{A37CFA8F-0271-4E2A-AE5E-EDF34E81000F}" cache="Slicer_Place4" caption="Place"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6090E9-5439-4615-BB69-BF512E8F1AFE}" name="Table1" displayName="Table1" ref="A1:G279" totalsRowShown="0" headerRowDxfId="32" dataDxfId="30" headerRowBorderDxfId="31" tableBorderDxfId="29" totalsRowBorderDxfId="28">
  <autoFilter ref="A1:G279" xr:uid="{766090E9-5439-4615-BB69-BF512E8F1AFE}"/>
  <tableColumns count="7">
    <tableColumn id="1" xr3:uid="{9B86C800-42B1-4112-99D9-1287877942C5}" name=" Orders Date" dataDxfId="27"/>
    <tableColumn id="2" xr3:uid="{5FEBA845-50B7-4246-8AF4-BB2B78BA04A9}" name="Sales Persons" dataDxfId="26"/>
    <tableColumn id="3" xr3:uid="{5FBA9497-6E97-466F-9482-313D04B0AD24}" name="Products" dataDxfId="25"/>
    <tableColumn id="4" xr3:uid="{3BE7DE7F-D578-48D6-B06F-2FAFDBD25BDE}" name="Place" dataDxfId="24"/>
    <tableColumn id="5" xr3:uid="{677409D2-B161-40FC-A162-9640A6AC136F}" name="Price" dataDxfId="23"/>
    <tableColumn id="6" xr3:uid="{3CDF74EA-D0F9-4F58-B192-D18D5D1FBBE8}" name="Units" dataDxfId="22"/>
    <tableColumn id="7" xr3:uid="{9420A074-44EB-4795-A784-A0211282FAEF}" name="Amount" dataDxfId="21">
      <calculatedColumnFormula>E2*F2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5B8E065-1C83-4D2A-8B58-76FFD0D427EA}" sourceName="[Table1].[Date]">
  <pivotTables>
    <pivotTable tabId="3" name="PivotTable18"/>
  </pivotTables>
  <state minimalRefreshVersion="6" lastRefreshVersion="6" pivotCacheId="671736819" filterType="dateBetween">
    <selection startDate="2020-08-01T00:00:00" endDate="2020-08-31T00:00:00"/>
    <bounds startDate="2020-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1" xr10:uid="{9825ECC1-1359-4902-920D-3F041CE3F609}" sourceName="[Table1].[Date]">
  <pivotTables>
    <pivotTable tabId="4" name="PivotTable6"/>
    <pivotTable tabId="4" name="PivotTable19"/>
    <pivotTable tabId="4" name="PivotTable20"/>
  </pivotTables>
  <state minimalRefreshVersion="6" lastRefreshVersion="6" pivotCacheId="671736819"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6AD4E87-79BC-4C3B-BE8D-BD1D236D7FCF}" cache="Timeline_Date1" caption="Date" level="1" selectionLevel="1"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32954BB0-AD50-44CA-A7B7-776F0E46F47D}" cache="Timeline_Date1" caption="Date" level="2" selectionLevel="2" scrollPosition="2021-10-3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DB0A6B53-EFEF-4F5B-B3D8-5E908CA34EB4}" cache="Timeline_Date1" caption="Date" level="1" selectionLevel="1" scrollPosition="2020-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8989725-9250-4D78-AC3F-49C76696EA4E}" cache="Timeline_Date" caption="Date" level="2" selectionLevel="2" scrollPosition="2020-04-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1.xml"/><Relationship Id="rId4" Type="http://schemas.microsoft.com/office/2011/relationships/timeline" Target="../timelines/timelin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openxmlformats.org/officeDocument/2006/relationships/pivotTable" Target="../pivotTables/pivotTable19.xml"/><Relationship Id="rId3" Type="http://schemas.openxmlformats.org/officeDocument/2006/relationships/pivotTable" Target="../pivotTables/pivotTable4.xml"/><Relationship Id="rId21" Type="http://schemas.openxmlformats.org/officeDocument/2006/relationships/pivotTable" Target="../pivotTables/pivotTable22.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 Type="http://schemas.openxmlformats.org/officeDocument/2006/relationships/pivotTable" Target="../pivotTables/pivotTable3.xml"/><Relationship Id="rId16" Type="http://schemas.openxmlformats.org/officeDocument/2006/relationships/pivotTable" Target="../pivotTables/pivotTable17.xml"/><Relationship Id="rId20" Type="http://schemas.openxmlformats.org/officeDocument/2006/relationships/pivotTable" Target="../pivotTables/pivotTable2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23" Type="http://schemas.microsoft.com/office/2007/relationships/slicer" Target="../slicers/slicer5.xml"/><Relationship Id="rId10" Type="http://schemas.openxmlformats.org/officeDocument/2006/relationships/pivotTable" Target="../pivotTables/pivotTable11.xml"/><Relationship Id="rId19" Type="http://schemas.openxmlformats.org/officeDocument/2006/relationships/pivotTable" Target="../pivotTables/pivotTable20.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 Id="rId22"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workbookViewId="0">
      <selection activeCell="D14" sqref="D14"/>
    </sheetView>
  </sheetViews>
  <sheetFormatPr defaultRowHeight="15" x14ac:dyDescent="0.25"/>
  <cols>
    <col min="1" max="1" width="17.5703125" bestFit="1" customWidth="1"/>
    <col min="2" max="2" width="18.85546875" customWidth="1"/>
    <col min="3" max="3" width="13.140625" customWidth="1"/>
    <col min="4" max="4" width="16.5703125" customWidth="1"/>
    <col min="5" max="6" width="11.7109375" customWidth="1"/>
    <col min="7" max="7" width="14.42578125" customWidth="1"/>
  </cols>
  <sheetData>
    <row r="1" spans="1:7" ht="18.75" x14ac:dyDescent="0.3">
      <c r="A1" s="10" t="s">
        <v>49</v>
      </c>
      <c r="B1" s="11" t="s">
        <v>0</v>
      </c>
      <c r="C1" s="11" t="s">
        <v>1</v>
      </c>
      <c r="D1" s="11" t="s">
        <v>2</v>
      </c>
      <c r="E1" s="11" t="s">
        <v>3</v>
      </c>
      <c r="F1" s="11" t="s">
        <v>4</v>
      </c>
      <c r="G1" s="12" t="s">
        <v>5</v>
      </c>
    </row>
    <row r="2" spans="1:7" ht="15.75" x14ac:dyDescent="0.25">
      <c r="A2" s="4">
        <v>43831</v>
      </c>
      <c r="B2" s="1" t="s">
        <v>6</v>
      </c>
      <c r="C2" s="1" t="s">
        <v>7</v>
      </c>
      <c r="D2" s="1" t="s">
        <v>8</v>
      </c>
      <c r="E2" s="1">
        <v>499</v>
      </c>
      <c r="F2" s="1">
        <v>50</v>
      </c>
      <c r="G2" s="7">
        <f>E2*F2</f>
        <v>24950</v>
      </c>
    </row>
    <row r="3" spans="1:7" ht="15.75" x14ac:dyDescent="0.25">
      <c r="A3" s="5">
        <v>43835</v>
      </c>
      <c r="B3" s="2" t="s">
        <v>9</v>
      </c>
      <c r="C3" s="2" t="s">
        <v>7</v>
      </c>
      <c r="D3" s="2" t="s">
        <v>10</v>
      </c>
      <c r="E3" s="2">
        <v>5599</v>
      </c>
      <c r="F3" s="2">
        <v>33</v>
      </c>
      <c r="G3" s="8">
        <f t="shared" ref="G3:G66" si="0">E3*F3</f>
        <v>184767</v>
      </c>
    </row>
    <row r="4" spans="1:7" ht="15.75" x14ac:dyDescent="0.25">
      <c r="A4" s="4">
        <v>43839</v>
      </c>
      <c r="B4" s="1" t="s">
        <v>11</v>
      </c>
      <c r="C4" s="1" t="s">
        <v>12</v>
      </c>
      <c r="D4" s="1" t="s">
        <v>13</v>
      </c>
      <c r="E4" s="1">
        <v>1450</v>
      </c>
      <c r="F4" s="1">
        <v>44</v>
      </c>
      <c r="G4" s="7">
        <f t="shared" si="0"/>
        <v>63800</v>
      </c>
    </row>
    <row r="5" spans="1:7" ht="15.75" x14ac:dyDescent="0.25">
      <c r="A5" s="5">
        <v>43843</v>
      </c>
      <c r="B5" s="2" t="s">
        <v>14</v>
      </c>
      <c r="C5" s="2" t="s">
        <v>15</v>
      </c>
      <c r="D5" s="2" t="s">
        <v>8</v>
      </c>
      <c r="E5" s="2">
        <v>85000</v>
      </c>
      <c r="F5" s="2">
        <v>50</v>
      </c>
      <c r="G5" s="8">
        <f t="shared" si="0"/>
        <v>4250000</v>
      </c>
    </row>
    <row r="6" spans="1:7" ht="15.75" x14ac:dyDescent="0.25">
      <c r="A6" s="4">
        <v>43847</v>
      </c>
      <c r="B6" s="1" t="s">
        <v>14</v>
      </c>
      <c r="C6" s="1" t="s">
        <v>16</v>
      </c>
      <c r="D6" s="1" t="s">
        <v>17</v>
      </c>
      <c r="E6" s="1">
        <v>15000</v>
      </c>
      <c r="F6" s="1">
        <v>11</v>
      </c>
      <c r="G6" s="7">
        <f t="shared" si="0"/>
        <v>165000</v>
      </c>
    </row>
    <row r="7" spans="1:7" ht="15.75" x14ac:dyDescent="0.25">
      <c r="A7" s="5">
        <v>43851</v>
      </c>
      <c r="B7" s="2" t="s">
        <v>9</v>
      </c>
      <c r="C7" s="2" t="s">
        <v>7</v>
      </c>
      <c r="D7" s="2" t="s">
        <v>17</v>
      </c>
      <c r="E7" s="2">
        <v>2550</v>
      </c>
      <c r="F7" s="2">
        <v>48</v>
      </c>
      <c r="G7" s="8">
        <f t="shared" si="0"/>
        <v>122400</v>
      </c>
    </row>
    <row r="8" spans="1:7" ht="15.75" x14ac:dyDescent="0.25">
      <c r="A8" s="4">
        <v>43855</v>
      </c>
      <c r="B8" s="1" t="s">
        <v>18</v>
      </c>
      <c r="C8" s="1" t="s">
        <v>19</v>
      </c>
      <c r="D8" s="1" t="s">
        <v>13</v>
      </c>
      <c r="E8" s="1">
        <v>33000</v>
      </c>
      <c r="F8" s="1">
        <v>26</v>
      </c>
      <c r="G8" s="7">
        <f t="shared" si="0"/>
        <v>858000</v>
      </c>
    </row>
    <row r="9" spans="1:7" ht="15.75" x14ac:dyDescent="0.25">
      <c r="A9" s="5">
        <v>43859</v>
      </c>
      <c r="B9" s="2" t="s">
        <v>6</v>
      </c>
      <c r="C9" s="2" t="s">
        <v>15</v>
      </c>
      <c r="D9" s="2" t="s">
        <v>20</v>
      </c>
      <c r="E9" s="2">
        <v>86000</v>
      </c>
      <c r="F9" s="2">
        <v>39</v>
      </c>
      <c r="G9" s="8">
        <f t="shared" si="0"/>
        <v>3354000</v>
      </c>
    </row>
    <row r="10" spans="1:7" ht="15.75" x14ac:dyDescent="0.25">
      <c r="A10" s="4">
        <v>43863</v>
      </c>
      <c r="B10" s="1" t="s">
        <v>11</v>
      </c>
      <c r="C10" s="1" t="s">
        <v>21</v>
      </c>
      <c r="D10" s="1" t="s">
        <v>17</v>
      </c>
      <c r="E10" s="1">
        <v>990</v>
      </c>
      <c r="F10" s="1">
        <v>9</v>
      </c>
      <c r="G10" s="7">
        <f t="shared" si="0"/>
        <v>8910</v>
      </c>
    </row>
    <row r="11" spans="1:7" ht="15.75" x14ac:dyDescent="0.25">
      <c r="A11" s="5">
        <v>43867</v>
      </c>
      <c r="B11" s="2" t="s">
        <v>6</v>
      </c>
      <c r="C11" s="2" t="s">
        <v>7</v>
      </c>
      <c r="D11" s="2" t="s">
        <v>8</v>
      </c>
      <c r="E11" s="2">
        <v>5599</v>
      </c>
      <c r="F11" s="2">
        <v>41</v>
      </c>
      <c r="G11" s="8">
        <f t="shared" si="0"/>
        <v>229559</v>
      </c>
    </row>
    <row r="12" spans="1:7" ht="15.75" x14ac:dyDescent="0.25">
      <c r="A12" s="4">
        <v>43871</v>
      </c>
      <c r="B12" s="1" t="s">
        <v>18</v>
      </c>
      <c r="C12" s="1" t="s">
        <v>19</v>
      </c>
      <c r="D12" s="1" t="s">
        <v>13</v>
      </c>
      <c r="E12" s="1">
        <v>499</v>
      </c>
      <c r="F12" s="1">
        <v>39</v>
      </c>
      <c r="G12" s="7">
        <f t="shared" si="0"/>
        <v>19461</v>
      </c>
    </row>
    <row r="13" spans="1:7" ht="15.75" x14ac:dyDescent="0.25">
      <c r="A13" s="5">
        <v>43875</v>
      </c>
      <c r="B13" s="2" t="s">
        <v>9</v>
      </c>
      <c r="C13" s="2" t="s">
        <v>21</v>
      </c>
      <c r="D13" s="2" t="s">
        <v>8</v>
      </c>
      <c r="E13" s="2">
        <v>1999</v>
      </c>
      <c r="F13" s="2">
        <v>4</v>
      </c>
      <c r="G13" s="8">
        <f t="shared" si="0"/>
        <v>7996</v>
      </c>
    </row>
    <row r="14" spans="1:7" ht="15.75" x14ac:dyDescent="0.25">
      <c r="A14" s="4">
        <v>43879</v>
      </c>
      <c r="B14" s="1" t="s">
        <v>14</v>
      </c>
      <c r="C14" s="1" t="s">
        <v>15</v>
      </c>
      <c r="D14" s="1" t="s">
        <v>8</v>
      </c>
      <c r="E14" s="1">
        <v>63400</v>
      </c>
      <c r="F14" s="1">
        <v>8</v>
      </c>
      <c r="G14" s="7">
        <f t="shared" si="0"/>
        <v>507200</v>
      </c>
    </row>
    <row r="15" spans="1:7" ht="15.75" x14ac:dyDescent="0.25">
      <c r="A15" s="5">
        <v>43883</v>
      </c>
      <c r="B15" s="2" t="s">
        <v>22</v>
      </c>
      <c r="C15" s="2" t="s">
        <v>21</v>
      </c>
      <c r="D15" s="2" t="s">
        <v>17</v>
      </c>
      <c r="E15" s="2">
        <v>1499</v>
      </c>
      <c r="F15" s="2">
        <v>27</v>
      </c>
      <c r="G15" s="8">
        <f t="shared" si="0"/>
        <v>40473</v>
      </c>
    </row>
    <row r="16" spans="1:7" ht="15.75" x14ac:dyDescent="0.25">
      <c r="A16" s="4">
        <v>43887</v>
      </c>
      <c r="B16" s="1" t="s">
        <v>14</v>
      </c>
      <c r="C16" s="1" t="s">
        <v>16</v>
      </c>
      <c r="D16" s="1" t="s">
        <v>13</v>
      </c>
      <c r="E16" s="1">
        <v>120</v>
      </c>
      <c r="F16" s="1">
        <v>10</v>
      </c>
      <c r="G16" s="7">
        <f t="shared" si="0"/>
        <v>1200</v>
      </c>
    </row>
    <row r="17" spans="1:7" ht="15.75" x14ac:dyDescent="0.25">
      <c r="A17" s="5">
        <v>43891</v>
      </c>
      <c r="B17" s="2" t="s">
        <v>9</v>
      </c>
      <c r="C17" s="2" t="s">
        <v>19</v>
      </c>
      <c r="D17" s="2" t="s">
        <v>20</v>
      </c>
      <c r="E17" s="2">
        <v>11999</v>
      </c>
      <c r="F17" s="2">
        <v>17</v>
      </c>
      <c r="G17" s="8">
        <f t="shared" si="0"/>
        <v>203983</v>
      </c>
    </row>
    <row r="18" spans="1:7" ht="15.75" x14ac:dyDescent="0.25">
      <c r="A18" s="4">
        <v>43895</v>
      </c>
      <c r="B18" s="1" t="s">
        <v>11</v>
      </c>
      <c r="C18" s="1" t="s">
        <v>15</v>
      </c>
      <c r="D18" s="1" t="s">
        <v>10</v>
      </c>
      <c r="E18" s="1">
        <v>47500</v>
      </c>
      <c r="F18" s="1">
        <v>27</v>
      </c>
      <c r="G18" s="7">
        <f t="shared" si="0"/>
        <v>1282500</v>
      </c>
    </row>
    <row r="19" spans="1:7" ht="15.75" x14ac:dyDescent="0.25">
      <c r="A19" s="5">
        <v>43899</v>
      </c>
      <c r="B19" s="2" t="s">
        <v>18</v>
      </c>
      <c r="C19" s="2" t="s">
        <v>19</v>
      </c>
      <c r="D19" s="2" t="s">
        <v>10</v>
      </c>
      <c r="E19" s="2">
        <v>2999</v>
      </c>
      <c r="F19" s="2">
        <v>43</v>
      </c>
      <c r="G19" s="8">
        <f t="shared" si="0"/>
        <v>128957</v>
      </c>
    </row>
    <row r="20" spans="1:7" ht="15.75" x14ac:dyDescent="0.25">
      <c r="A20" s="4">
        <v>43903</v>
      </c>
      <c r="B20" s="1" t="s">
        <v>14</v>
      </c>
      <c r="C20" s="1" t="s">
        <v>16</v>
      </c>
      <c r="D20" s="1" t="s">
        <v>10</v>
      </c>
      <c r="E20" s="1">
        <v>8900</v>
      </c>
      <c r="F20" s="1">
        <v>9</v>
      </c>
      <c r="G20" s="7">
        <f t="shared" si="0"/>
        <v>80100</v>
      </c>
    </row>
    <row r="21" spans="1:7" ht="15.75" x14ac:dyDescent="0.25">
      <c r="A21" s="5">
        <v>43907</v>
      </c>
      <c r="B21" s="2" t="s">
        <v>9</v>
      </c>
      <c r="C21" s="2" t="s">
        <v>19</v>
      </c>
      <c r="D21" s="2" t="s">
        <v>8</v>
      </c>
      <c r="E21" s="2">
        <v>22000</v>
      </c>
      <c r="F21" s="2">
        <v>42</v>
      </c>
      <c r="G21" s="8">
        <f t="shared" si="0"/>
        <v>924000</v>
      </c>
    </row>
    <row r="22" spans="1:7" ht="15.75" x14ac:dyDescent="0.25">
      <c r="A22" s="4">
        <v>43911</v>
      </c>
      <c r="B22" s="1" t="s">
        <v>11</v>
      </c>
      <c r="C22" s="1" t="s">
        <v>12</v>
      </c>
      <c r="D22" s="1" t="s">
        <v>10</v>
      </c>
      <c r="E22" s="1">
        <v>1250</v>
      </c>
      <c r="F22" s="1">
        <v>6</v>
      </c>
      <c r="G22" s="7">
        <f t="shared" si="0"/>
        <v>7500</v>
      </c>
    </row>
    <row r="23" spans="1:7" ht="15.75" x14ac:dyDescent="0.25">
      <c r="A23" s="5">
        <v>43915</v>
      </c>
      <c r="B23" s="2" t="s">
        <v>14</v>
      </c>
      <c r="C23" s="2" t="s">
        <v>16</v>
      </c>
      <c r="D23" s="2" t="s">
        <v>17</v>
      </c>
      <c r="E23" s="2">
        <v>999</v>
      </c>
      <c r="F23" s="2">
        <v>28</v>
      </c>
      <c r="G23" s="8">
        <f t="shared" si="0"/>
        <v>27972</v>
      </c>
    </row>
    <row r="24" spans="1:7" ht="15.75" x14ac:dyDescent="0.25">
      <c r="A24" s="4">
        <v>43919</v>
      </c>
      <c r="B24" s="1" t="s">
        <v>18</v>
      </c>
      <c r="C24" s="1" t="s">
        <v>12</v>
      </c>
      <c r="D24" s="1" t="s">
        <v>20</v>
      </c>
      <c r="E24" s="1">
        <v>1450</v>
      </c>
      <c r="F24" s="1">
        <v>13</v>
      </c>
      <c r="G24" s="7">
        <f t="shared" si="0"/>
        <v>18850</v>
      </c>
    </row>
    <row r="25" spans="1:7" ht="15.75" x14ac:dyDescent="0.25">
      <c r="A25" s="5">
        <v>43923</v>
      </c>
      <c r="B25" s="2" t="s">
        <v>18</v>
      </c>
      <c r="C25" s="2" t="s">
        <v>12</v>
      </c>
      <c r="D25" s="2" t="s">
        <v>13</v>
      </c>
      <c r="E25" s="2">
        <v>23999</v>
      </c>
      <c r="F25" s="2">
        <v>8</v>
      </c>
      <c r="G25" s="8">
        <f t="shared" si="0"/>
        <v>191992</v>
      </c>
    </row>
    <row r="26" spans="1:7" ht="15.75" x14ac:dyDescent="0.25">
      <c r="A26" s="4">
        <v>43927</v>
      </c>
      <c r="B26" s="1" t="s">
        <v>9</v>
      </c>
      <c r="C26" s="1" t="s">
        <v>15</v>
      </c>
      <c r="D26" s="1" t="s">
        <v>20</v>
      </c>
      <c r="E26" s="1">
        <v>65200</v>
      </c>
      <c r="F26" s="1">
        <v>7</v>
      </c>
      <c r="G26" s="7">
        <f t="shared" si="0"/>
        <v>456400</v>
      </c>
    </row>
    <row r="27" spans="1:7" ht="15.75" x14ac:dyDescent="0.25">
      <c r="A27" s="5">
        <v>43931</v>
      </c>
      <c r="B27" s="2" t="s">
        <v>9</v>
      </c>
      <c r="C27" s="2" t="s">
        <v>21</v>
      </c>
      <c r="D27" s="2" t="s">
        <v>10</v>
      </c>
      <c r="E27" s="2">
        <v>699</v>
      </c>
      <c r="F27" s="2">
        <v>45</v>
      </c>
      <c r="G27" s="8">
        <f t="shared" si="0"/>
        <v>31455</v>
      </c>
    </row>
    <row r="28" spans="1:7" ht="15.75" x14ac:dyDescent="0.25">
      <c r="A28" s="4">
        <v>43935</v>
      </c>
      <c r="B28" s="1" t="s">
        <v>6</v>
      </c>
      <c r="C28" s="1" t="s">
        <v>7</v>
      </c>
      <c r="D28" s="1" t="s">
        <v>8</v>
      </c>
      <c r="E28" s="1">
        <v>2550</v>
      </c>
      <c r="F28" s="1">
        <v>22</v>
      </c>
      <c r="G28" s="7">
        <f t="shared" si="0"/>
        <v>56100</v>
      </c>
    </row>
    <row r="29" spans="1:7" ht="15.75" x14ac:dyDescent="0.25">
      <c r="A29" s="5">
        <v>43939</v>
      </c>
      <c r="B29" s="2" t="s">
        <v>11</v>
      </c>
      <c r="C29" s="2" t="s">
        <v>19</v>
      </c>
      <c r="D29" s="2" t="s">
        <v>20</v>
      </c>
      <c r="E29" s="2">
        <v>22000</v>
      </c>
      <c r="F29" s="2">
        <v>4</v>
      </c>
      <c r="G29" s="8">
        <f t="shared" si="0"/>
        <v>88000</v>
      </c>
    </row>
    <row r="30" spans="1:7" ht="15.75" x14ac:dyDescent="0.25">
      <c r="A30" s="4">
        <v>43943</v>
      </c>
      <c r="B30" s="1" t="s">
        <v>18</v>
      </c>
      <c r="C30" s="1" t="s">
        <v>15</v>
      </c>
      <c r="D30" s="1" t="s">
        <v>8</v>
      </c>
      <c r="E30" s="1">
        <v>22000</v>
      </c>
      <c r="F30" s="1">
        <v>10</v>
      </c>
      <c r="G30" s="7">
        <f t="shared" si="0"/>
        <v>220000</v>
      </c>
    </row>
    <row r="31" spans="1:7" ht="15.75" x14ac:dyDescent="0.25">
      <c r="A31" s="5">
        <v>43947</v>
      </c>
      <c r="B31" s="2" t="s">
        <v>22</v>
      </c>
      <c r="C31" s="2" t="s">
        <v>21</v>
      </c>
      <c r="D31" s="2" t="s">
        <v>17</v>
      </c>
      <c r="E31" s="2">
        <v>1499</v>
      </c>
      <c r="F31" s="2">
        <v>16</v>
      </c>
      <c r="G31" s="8">
        <f t="shared" si="0"/>
        <v>23984</v>
      </c>
    </row>
    <row r="32" spans="1:7" ht="15.75" x14ac:dyDescent="0.25">
      <c r="A32" s="4">
        <v>43951</v>
      </c>
      <c r="B32" s="1" t="s">
        <v>9</v>
      </c>
      <c r="C32" s="1" t="s">
        <v>16</v>
      </c>
      <c r="D32" s="1" t="s">
        <v>20</v>
      </c>
      <c r="E32" s="1">
        <v>120</v>
      </c>
      <c r="F32" s="1">
        <v>22</v>
      </c>
      <c r="G32" s="7">
        <f t="shared" si="0"/>
        <v>2640</v>
      </c>
    </row>
    <row r="33" spans="1:7" ht="15.75" x14ac:dyDescent="0.25">
      <c r="A33" s="5">
        <v>43955</v>
      </c>
      <c r="B33" s="2" t="s">
        <v>6</v>
      </c>
      <c r="C33" s="2" t="s">
        <v>7</v>
      </c>
      <c r="D33" s="2" t="s">
        <v>13</v>
      </c>
      <c r="E33" s="2">
        <v>1450</v>
      </c>
      <c r="F33" s="2">
        <v>20</v>
      </c>
      <c r="G33" s="8">
        <f t="shared" si="0"/>
        <v>29000</v>
      </c>
    </row>
    <row r="34" spans="1:7" ht="15.75" x14ac:dyDescent="0.25">
      <c r="A34" s="4">
        <v>43959</v>
      </c>
      <c r="B34" s="1" t="s">
        <v>22</v>
      </c>
      <c r="C34" s="1" t="s">
        <v>21</v>
      </c>
      <c r="D34" s="1" t="s">
        <v>17</v>
      </c>
      <c r="E34" s="1">
        <v>1999</v>
      </c>
      <c r="F34" s="1">
        <v>23</v>
      </c>
      <c r="G34" s="7">
        <f t="shared" si="0"/>
        <v>45977</v>
      </c>
    </row>
    <row r="35" spans="1:7" ht="15.75" x14ac:dyDescent="0.25">
      <c r="A35" s="5">
        <v>43963</v>
      </c>
      <c r="B35" s="2" t="s">
        <v>9</v>
      </c>
      <c r="C35" s="2" t="s">
        <v>7</v>
      </c>
      <c r="D35" s="2" t="s">
        <v>8</v>
      </c>
      <c r="E35" s="2">
        <v>800</v>
      </c>
      <c r="F35" s="2">
        <v>43</v>
      </c>
      <c r="G35" s="8">
        <f t="shared" si="0"/>
        <v>34400</v>
      </c>
    </row>
    <row r="36" spans="1:7" ht="15.75" x14ac:dyDescent="0.25">
      <c r="A36" s="4">
        <v>43967</v>
      </c>
      <c r="B36" s="1" t="s">
        <v>11</v>
      </c>
      <c r="C36" s="1" t="s">
        <v>16</v>
      </c>
      <c r="D36" s="1" t="s">
        <v>17</v>
      </c>
      <c r="E36" s="1">
        <v>18000</v>
      </c>
      <c r="F36" s="1">
        <v>41</v>
      </c>
      <c r="G36" s="7">
        <f t="shared" si="0"/>
        <v>738000</v>
      </c>
    </row>
    <row r="37" spans="1:7" ht="15.75" x14ac:dyDescent="0.25">
      <c r="A37" s="5">
        <v>43971</v>
      </c>
      <c r="B37" s="2" t="s">
        <v>6</v>
      </c>
      <c r="C37" s="2" t="s">
        <v>7</v>
      </c>
      <c r="D37" s="2" t="s">
        <v>10</v>
      </c>
      <c r="E37" s="2">
        <v>13999</v>
      </c>
      <c r="F37" s="2">
        <v>37</v>
      </c>
      <c r="G37" s="8">
        <f t="shared" si="0"/>
        <v>517963</v>
      </c>
    </row>
    <row r="38" spans="1:7" ht="15.75" x14ac:dyDescent="0.25">
      <c r="A38" s="4">
        <v>43975</v>
      </c>
      <c r="B38" s="1" t="s">
        <v>9</v>
      </c>
      <c r="C38" s="1" t="s">
        <v>19</v>
      </c>
      <c r="D38" s="1" t="s">
        <v>17</v>
      </c>
      <c r="E38" s="1">
        <v>22000</v>
      </c>
      <c r="F38" s="1">
        <v>45</v>
      </c>
      <c r="G38" s="7">
        <f t="shared" si="0"/>
        <v>990000</v>
      </c>
    </row>
    <row r="39" spans="1:7" ht="15.75" x14ac:dyDescent="0.25">
      <c r="A39" s="5">
        <v>43979</v>
      </c>
      <c r="B39" s="2" t="s">
        <v>18</v>
      </c>
      <c r="C39" s="2" t="s">
        <v>15</v>
      </c>
      <c r="D39" s="2" t="s">
        <v>8</v>
      </c>
      <c r="E39" s="2">
        <v>89999</v>
      </c>
      <c r="F39" s="2">
        <v>15</v>
      </c>
      <c r="G39" s="8">
        <f t="shared" si="0"/>
        <v>1349985</v>
      </c>
    </row>
    <row r="40" spans="1:7" ht="15.75" x14ac:dyDescent="0.25">
      <c r="A40" s="4">
        <v>43983</v>
      </c>
      <c r="B40" s="1" t="s">
        <v>6</v>
      </c>
      <c r="C40" s="1" t="s">
        <v>7</v>
      </c>
      <c r="D40" s="1" t="s">
        <v>13</v>
      </c>
      <c r="E40" s="1">
        <v>13999</v>
      </c>
      <c r="F40" s="1">
        <v>22</v>
      </c>
      <c r="G40" s="7">
        <f t="shared" si="0"/>
        <v>307978</v>
      </c>
    </row>
    <row r="41" spans="1:7" ht="15.75" x14ac:dyDescent="0.25">
      <c r="A41" s="5">
        <v>43987</v>
      </c>
      <c r="B41" s="2" t="s">
        <v>11</v>
      </c>
      <c r="C41" s="2" t="s">
        <v>21</v>
      </c>
      <c r="D41" s="2" t="s">
        <v>10</v>
      </c>
      <c r="E41" s="2">
        <v>2900</v>
      </c>
      <c r="F41" s="2">
        <v>20</v>
      </c>
      <c r="G41" s="8">
        <f t="shared" si="0"/>
        <v>58000</v>
      </c>
    </row>
    <row r="42" spans="1:7" ht="15.75" x14ac:dyDescent="0.25">
      <c r="A42" s="4">
        <v>43991</v>
      </c>
      <c r="B42" s="1" t="s">
        <v>9</v>
      </c>
      <c r="C42" s="1" t="s">
        <v>19</v>
      </c>
      <c r="D42" s="1" t="s">
        <v>17</v>
      </c>
      <c r="E42" s="1">
        <v>33000</v>
      </c>
      <c r="F42" s="1">
        <v>16</v>
      </c>
      <c r="G42" s="7">
        <f t="shared" si="0"/>
        <v>528000</v>
      </c>
    </row>
    <row r="43" spans="1:7" ht="15.75" x14ac:dyDescent="0.25">
      <c r="A43" s="5">
        <v>43995</v>
      </c>
      <c r="B43" s="2" t="s">
        <v>11</v>
      </c>
      <c r="C43" s="2" t="s">
        <v>19</v>
      </c>
      <c r="D43" s="2" t="s">
        <v>10</v>
      </c>
      <c r="E43" s="2">
        <v>22000</v>
      </c>
      <c r="F43" s="2">
        <v>17</v>
      </c>
      <c r="G43" s="8">
        <f t="shared" si="0"/>
        <v>374000</v>
      </c>
    </row>
    <row r="44" spans="1:7" ht="15.75" x14ac:dyDescent="0.25">
      <c r="A44" s="4">
        <v>43999</v>
      </c>
      <c r="B44" s="1" t="s">
        <v>22</v>
      </c>
      <c r="C44" s="1" t="s">
        <v>21</v>
      </c>
      <c r="D44" s="1" t="s">
        <v>10</v>
      </c>
      <c r="E44" s="1">
        <v>699</v>
      </c>
      <c r="F44" s="1">
        <v>50</v>
      </c>
      <c r="G44" s="7">
        <f t="shared" si="0"/>
        <v>34950</v>
      </c>
    </row>
    <row r="45" spans="1:7" ht="15.75" x14ac:dyDescent="0.25">
      <c r="A45" s="5">
        <v>44003</v>
      </c>
      <c r="B45" s="2" t="s">
        <v>18</v>
      </c>
      <c r="C45" s="2" t="s">
        <v>19</v>
      </c>
      <c r="D45" s="2" t="s">
        <v>13</v>
      </c>
      <c r="E45" s="2">
        <v>499</v>
      </c>
      <c r="F45" s="2">
        <v>4</v>
      </c>
      <c r="G45" s="8">
        <f t="shared" si="0"/>
        <v>1996</v>
      </c>
    </row>
    <row r="46" spans="1:7" ht="15.75" x14ac:dyDescent="0.25">
      <c r="A46" s="4">
        <v>44007</v>
      </c>
      <c r="B46" s="1" t="s">
        <v>9</v>
      </c>
      <c r="C46" s="1" t="s">
        <v>21</v>
      </c>
      <c r="D46" s="1" t="s">
        <v>17</v>
      </c>
      <c r="E46" s="1">
        <v>590</v>
      </c>
      <c r="F46" s="1">
        <v>43</v>
      </c>
      <c r="G46" s="7">
        <f t="shared" si="0"/>
        <v>25370</v>
      </c>
    </row>
    <row r="47" spans="1:7" ht="15.75" x14ac:dyDescent="0.25">
      <c r="A47" s="5">
        <v>44011</v>
      </c>
      <c r="B47" s="2" t="s">
        <v>22</v>
      </c>
      <c r="C47" s="2" t="s">
        <v>21</v>
      </c>
      <c r="D47" s="2" t="s">
        <v>10</v>
      </c>
      <c r="E47" s="2">
        <v>590</v>
      </c>
      <c r="F47" s="2">
        <v>42</v>
      </c>
      <c r="G47" s="8">
        <f t="shared" si="0"/>
        <v>24780</v>
      </c>
    </row>
    <row r="48" spans="1:7" ht="15.75" x14ac:dyDescent="0.25">
      <c r="A48" s="4">
        <v>44015</v>
      </c>
      <c r="B48" s="1" t="s">
        <v>9</v>
      </c>
      <c r="C48" s="1" t="s">
        <v>15</v>
      </c>
      <c r="D48" s="1" t="s">
        <v>8</v>
      </c>
      <c r="E48" s="1">
        <v>120</v>
      </c>
      <c r="F48" s="1">
        <v>9</v>
      </c>
      <c r="G48" s="7">
        <f t="shared" si="0"/>
        <v>1080</v>
      </c>
    </row>
    <row r="49" spans="1:7" ht="15.75" x14ac:dyDescent="0.25">
      <c r="A49" s="5">
        <v>44019</v>
      </c>
      <c r="B49" s="2" t="s">
        <v>18</v>
      </c>
      <c r="C49" s="2" t="s">
        <v>19</v>
      </c>
      <c r="D49" s="2" t="s">
        <v>20</v>
      </c>
      <c r="E49" s="2">
        <v>52000</v>
      </c>
      <c r="F49" s="2">
        <v>40</v>
      </c>
      <c r="G49" s="8">
        <f t="shared" si="0"/>
        <v>2080000</v>
      </c>
    </row>
    <row r="50" spans="1:7" ht="15.75" x14ac:dyDescent="0.25">
      <c r="A50" s="4">
        <v>44023</v>
      </c>
      <c r="B50" s="1" t="s">
        <v>11</v>
      </c>
      <c r="C50" s="1" t="s">
        <v>12</v>
      </c>
      <c r="D50" s="1" t="s">
        <v>17</v>
      </c>
      <c r="E50" s="1">
        <v>7999</v>
      </c>
      <c r="F50" s="1">
        <v>14</v>
      </c>
      <c r="G50" s="7">
        <f t="shared" si="0"/>
        <v>111986</v>
      </c>
    </row>
    <row r="51" spans="1:7" ht="15.75" x14ac:dyDescent="0.25">
      <c r="A51" s="5">
        <v>44027</v>
      </c>
      <c r="B51" s="2" t="s">
        <v>9</v>
      </c>
      <c r="C51" s="2" t="s">
        <v>12</v>
      </c>
      <c r="D51" s="2" t="s">
        <v>20</v>
      </c>
      <c r="E51" s="2">
        <v>550</v>
      </c>
      <c r="F51" s="2">
        <v>9</v>
      </c>
      <c r="G51" s="8">
        <f t="shared" si="0"/>
        <v>4950</v>
      </c>
    </row>
    <row r="52" spans="1:7" ht="15.75" x14ac:dyDescent="0.25">
      <c r="A52" s="4">
        <v>44031</v>
      </c>
      <c r="B52" s="1" t="s">
        <v>11</v>
      </c>
      <c r="C52" s="1" t="s">
        <v>15</v>
      </c>
      <c r="D52" s="1" t="s">
        <v>17</v>
      </c>
      <c r="E52" s="1">
        <v>79999</v>
      </c>
      <c r="F52" s="1">
        <v>10</v>
      </c>
      <c r="G52" s="7">
        <f t="shared" si="0"/>
        <v>799990</v>
      </c>
    </row>
    <row r="53" spans="1:7" ht="15.75" x14ac:dyDescent="0.25">
      <c r="A53" s="5">
        <v>44035</v>
      </c>
      <c r="B53" s="2" t="s">
        <v>22</v>
      </c>
      <c r="C53" s="2" t="s">
        <v>21</v>
      </c>
      <c r="D53" s="2" t="s">
        <v>17</v>
      </c>
      <c r="E53" s="2">
        <v>1999</v>
      </c>
      <c r="F53" s="2">
        <v>37</v>
      </c>
      <c r="G53" s="8">
        <f t="shared" si="0"/>
        <v>73963</v>
      </c>
    </row>
    <row r="54" spans="1:7" ht="15.75" x14ac:dyDescent="0.25">
      <c r="A54" s="4">
        <v>44039</v>
      </c>
      <c r="B54" s="1" t="s">
        <v>18</v>
      </c>
      <c r="C54" s="1" t="s">
        <v>19</v>
      </c>
      <c r="D54" s="1" t="s">
        <v>13</v>
      </c>
      <c r="E54" s="1">
        <v>89999</v>
      </c>
      <c r="F54" s="1">
        <v>29</v>
      </c>
      <c r="G54" s="7">
        <f t="shared" si="0"/>
        <v>2609971</v>
      </c>
    </row>
    <row r="55" spans="1:7" ht="15.75" x14ac:dyDescent="0.25">
      <c r="A55" s="5">
        <v>44043</v>
      </c>
      <c r="B55" s="2" t="s">
        <v>9</v>
      </c>
      <c r="C55" s="2" t="s">
        <v>15</v>
      </c>
      <c r="D55" s="2" t="s">
        <v>17</v>
      </c>
      <c r="E55" s="2">
        <v>78500</v>
      </c>
      <c r="F55" s="2">
        <v>44</v>
      </c>
      <c r="G55" s="8">
        <f t="shared" si="0"/>
        <v>3454000</v>
      </c>
    </row>
    <row r="56" spans="1:7" ht="15.75" x14ac:dyDescent="0.25">
      <c r="A56" s="4">
        <v>44047</v>
      </c>
      <c r="B56" s="1" t="s">
        <v>18</v>
      </c>
      <c r="C56" s="1" t="s">
        <v>19</v>
      </c>
      <c r="D56" s="1" t="s">
        <v>10</v>
      </c>
      <c r="E56" s="1">
        <v>3990</v>
      </c>
      <c r="F56" s="1">
        <v>31</v>
      </c>
      <c r="G56" s="7">
        <f t="shared" si="0"/>
        <v>123690</v>
      </c>
    </row>
    <row r="57" spans="1:7" ht="15.75" x14ac:dyDescent="0.25">
      <c r="A57" s="5">
        <v>44051</v>
      </c>
      <c r="B57" s="2" t="s">
        <v>11</v>
      </c>
      <c r="C57" s="2" t="s">
        <v>19</v>
      </c>
      <c r="D57" s="2" t="s">
        <v>17</v>
      </c>
      <c r="E57" s="2">
        <v>52000</v>
      </c>
      <c r="F57" s="2">
        <v>29</v>
      </c>
      <c r="G57" s="8">
        <f t="shared" si="0"/>
        <v>1508000</v>
      </c>
    </row>
    <row r="58" spans="1:7" ht="15.75" x14ac:dyDescent="0.25">
      <c r="A58" s="4">
        <v>44055</v>
      </c>
      <c r="B58" s="1" t="s">
        <v>6</v>
      </c>
      <c r="C58" s="1" t="s">
        <v>15</v>
      </c>
      <c r="D58" s="1" t="s">
        <v>17</v>
      </c>
      <c r="E58" s="1">
        <v>13999</v>
      </c>
      <c r="F58" s="1">
        <v>34</v>
      </c>
      <c r="G58" s="7">
        <f t="shared" si="0"/>
        <v>475966</v>
      </c>
    </row>
    <row r="59" spans="1:7" ht="15.75" x14ac:dyDescent="0.25">
      <c r="A59" s="5">
        <v>44059</v>
      </c>
      <c r="B59" s="2" t="s">
        <v>9</v>
      </c>
      <c r="C59" s="2" t="s">
        <v>16</v>
      </c>
      <c r="D59" s="2" t="s">
        <v>10</v>
      </c>
      <c r="E59" s="2">
        <v>120</v>
      </c>
      <c r="F59" s="2">
        <v>29</v>
      </c>
      <c r="G59" s="8">
        <f t="shared" si="0"/>
        <v>3480</v>
      </c>
    </row>
    <row r="60" spans="1:7" ht="15.75" x14ac:dyDescent="0.25">
      <c r="A60" s="4">
        <v>44063</v>
      </c>
      <c r="B60" s="1" t="s">
        <v>18</v>
      </c>
      <c r="C60" s="1" t="s">
        <v>12</v>
      </c>
      <c r="D60" s="1" t="s">
        <v>10</v>
      </c>
      <c r="E60" s="1">
        <v>23999</v>
      </c>
      <c r="F60" s="1">
        <v>25</v>
      </c>
      <c r="G60" s="7">
        <f t="shared" si="0"/>
        <v>599975</v>
      </c>
    </row>
    <row r="61" spans="1:7" ht="15.75" x14ac:dyDescent="0.25">
      <c r="A61" s="5">
        <v>44067</v>
      </c>
      <c r="B61" s="2" t="s">
        <v>18</v>
      </c>
      <c r="C61" s="2" t="s">
        <v>15</v>
      </c>
      <c r="D61" s="2" t="s">
        <v>17</v>
      </c>
      <c r="E61" s="2">
        <v>45000</v>
      </c>
      <c r="F61" s="2">
        <v>31</v>
      </c>
      <c r="G61" s="8">
        <f t="shared" si="0"/>
        <v>1395000</v>
      </c>
    </row>
    <row r="62" spans="1:7" ht="15.75" x14ac:dyDescent="0.25">
      <c r="A62" s="4">
        <v>44071</v>
      </c>
      <c r="B62" s="1" t="s">
        <v>9</v>
      </c>
      <c r="C62" s="1" t="s">
        <v>21</v>
      </c>
      <c r="D62" s="1" t="s">
        <v>10</v>
      </c>
      <c r="E62" s="1">
        <v>450</v>
      </c>
      <c r="F62" s="1">
        <v>16</v>
      </c>
      <c r="G62" s="7">
        <f t="shared" si="0"/>
        <v>7200</v>
      </c>
    </row>
    <row r="63" spans="1:7" ht="15.75" x14ac:dyDescent="0.25">
      <c r="A63" s="5">
        <v>44075</v>
      </c>
      <c r="B63" s="2" t="s">
        <v>14</v>
      </c>
      <c r="C63" s="2" t="s">
        <v>16</v>
      </c>
      <c r="D63" s="2" t="s">
        <v>17</v>
      </c>
      <c r="E63" s="2">
        <v>65000</v>
      </c>
      <c r="F63" s="2">
        <v>48</v>
      </c>
      <c r="G63" s="8">
        <f t="shared" si="0"/>
        <v>3120000</v>
      </c>
    </row>
    <row r="64" spans="1:7" ht="15.75" x14ac:dyDescent="0.25">
      <c r="A64" s="4">
        <v>44079</v>
      </c>
      <c r="B64" s="1" t="s">
        <v>11</v>
      </c>
      <c r="C64" s="1" t="s">
        <v>15</v>
      </c>
      <c r="D64" s="1" t="s">
        <v>20</v>
      </c>
      <c r="E64" s="1">
        <v>35600</v>
      </c>
      <c r="F64" s="1">
        <v>22</v>
      </c>
      <c r="G64" s="7">
        <f t="shared" si="0"/>
        <v>783200</v>
      </c>
    </row>
    <row r="65" spans="1:7" ht="15.75" x14ac:dyDescent="0.25">
      <c r="A65" s="5">
        <v>44083</v>
      </c>
      <c r="B65" s="2" t="s">
        <v>22</v>
      </c>
      <c r="C65" s="2" t="s">
        <v>21</v>
      </c>
      <c r="D65" s="2" t="s">
        <v>13</v>
      </c>
      <c r="E65" s="2">
        <v>699</v>
      </c>
      <c r="F65" s="2">
        <v>6</v>
      </c>
      <c r="G65" s="8">
        <f t="shared" si="0"/>
        <v>4194</v>
      </c>
    </row>
    <row r="66" spans="1:7" ht="15.75" x14ac:dyDescent="0.25">
      <c r="A66" s="4">
        <v>44087</v>
      </c>
      <c r="B66" s="1" t="s">
        <v>9</v>
      </c>
      <c r="C66" s="1" t="s">
        <v>21</v>
      </c>
      <c r="D66" s="1" t="s">
        <v>10</v>
      </c>
      <c r="E66" s="1">
        <v>990</v>
      </c>
      <c r="F66" s="1">
        <v>12</v>
      </c>
      <c r="G66" s="7">
        <f t="shared" si="0"/>
        <v>11880</v>
      </c>
    </row>
    <row r="67" spans="1:7" ht="15.75" x14ac:dyDescent="0.25">
      <c r="A67" s="5">
        <v>44091</v>
      </c>
      <c r="B67" s="2" t="s">
        <v>22</v>
      </c>
      <c r="C67" s="2" t="s">
        <v>15</v>
      </c>
      <c r="D67" s="2" t="s">
        <v>8</v>
      </c>
      <c r="E67" s="2">
        <v>450</v>
      </c>
      <c r="F67" s="2">
        <v>44</v>
      </c>
      <c r="G67" s="8">
        <f t="shared" ref="G67:G130" si="1">E67*F67</f>
        <v>19800</v>
      </c>
    </row>
    <row r="68" spans="1:7" ht="15.75" x14ac:dyDescent="0.25">
      <c r="A68" s="4">
        <v>44095</v>
      </c>
      <c r="B68" s="1" t="s">
        <v>22</v>
      </c>
      <c r="C68" s="1" t="s">
        <v>21</v>
      </c>
      <c r="D68" s="1" t="s">
        <v>13</v>
      </c>
      <c r="E68" s="1">
        <v>1499</v>
      </c>
      <c r="F68" s="1">
        <v>15</v>
      </c>
      <c r="G68" s="7">
        <f t="shared" si="1"/>
        <v>22485</v>
      </c>
    </row>
    <row r="69" spans="1:7" ht="15.75" x14ac:dyDescent="0.25">
      <c r="A69" s="5">
        <v>44099</v>
      </c>
      <c r="B69" s="2" t="s">
        <v>6</v>
      </c>
      <c r="C69" s="2" t="s">
        <v>7</v>
      </c>
      <c r="D69" s="2" t="s">
        <v>20</v>
      </c>
      <c r="E69" s="2">
        <v>499</v>
      </c>
      <c r="F69" s="2">
        <v>26</v>
      </c>
      <c r="G69" s="8">
        <f t="shared" si="1"/>
        <v>12974</v>
      </c>
    </row>
    <row r="70" spans="1:7" ht="15.75" x14ac:dyDescent="0.25">
      <c r="A70" s="4">
        <v>44103</v>
      </c>
      <c r="B70" s="1" t="s">
        <v>11</v>
      </c>
      <c r="C70" s="1" t="s">
        <v>15</v>
      </c>
      <c r="D70" s="1" t="s">
        <v>20</v>
      </c>
      <c r="E70" s="1">
        <v>44000</v>
      </c>
      <c r="F70" s="1">
        <v>16</v>
      </c>
      <c r="G70" s="7">
        <f t="shared" si="1"/>
        <v>704000</v>
      </c>
    </row>
    <row r="71" spans="1:7" ht="15.75" x14ac:dyDescent="0.25">
      <c r="A71" s="5">
        <v>44107</v>
      </c>
      <c r="B71" s="2" t="s">
        <v>6</v>
      </c>
      <c r="C71" s="2" t="s">
        <v>7</v>
      </c>
      <c r="D71" s="2" t="s">
        <v>17</v>
      </c>
      <c r="E71" s="2">
        <v>5599</v>
      </c>
      <c r="F71" s="2">
        <v>35</v>
      </c>
      <c r="G71" s="8">
        <f t="shared" si="1"/>
        <v>195965</v>
      </c>
    </row>
    <row r="72" spans="1:7" ht="15.75" x14ac:dyDescent="0.25">
      <c r="A72" s="4">
        <v>44111</v>
      </c>
      <c r="B72" s="1" t="s">
        <v>14</v>
      </c>
      <c r="C72" s="1" t="s">
        <v>15</v>
      </c>
      <c r="D72" s="1" t="s">
        <v>8</v>
      </c>
      <c r="E72" s="1">
        <v>54100</v>
      </c>
      <c r="F72" s="1">
        <v>36</v>
      </c>
      <c r="G72" s="7">
        <f t="shared" si="1"/>
        <v>1947600</v>
      </c>
    </row>
    <row r="73" spans="1:7" ht="15.75" x14ac:dyDescent="0.25">
      <c r="A73" s="5">
        <v>44115</v>
      </c>
      <c r="B73" s="2" t="s">
        <v>6</v>
      </c>
      <c r="C73" s="2" t="s">
        <v>7</v>
      </c>
      <c r="D73" s="2" t="s">
        <v>13</v>
      </c>
      <c r="E73" s="2">
        <v>2550</v>
      </c>
      <c r="F73" s="2">
        <v>20</v>
      </c>
      <c r="G73" s="8">
        <f t="shared" si="1"/>
        <v>51000</v>
      </c>
    </row>
    <row r="74" spans="1:7" ht="15.75" x14ac:dyDescent="0.25">
      <c r="A74" s="4">
        <v>44119</v>
      </c>
      <c r="B74" s="1" t="s">
        <v>9</v>
      </c>
      <c r="C74" s="1" t="s">
        <v>15</v>
      </c>
      <c r="D74" s="1" t="s">
        <v>13</v>
      </c>
      <c r="E74" s="1">
        <v>1450</v>
      </c>
      <c r="F74" s="1">
        <v>47</v>
      </c>
      <c r="G74" s="7">
        <f t="shared" si="1"/>
        <v>68150</v>
      </c>
    </row>
    <row r="75" spans="1:7" ht="15.75" x14ac:dyDescent="0.25">
      <c r="A75" s="5">
        <v>44123</v>
      </c>
      <c r="B75" s="2" t="s">
        <v>22</v>
      </c>
      <c r="C75" s="2" t="s">
        <v>21</v>
      </c>
      <c r="D75" s="2" t="s">
        <v>17</v>
      </c>
      <c r="E75" s="2">
        <v>2900</v>
      </c>
      <c r="F75" s="2">
        <v>6</v>
      </c>
      <c r="G75" s="8">
        <f t="shared" si="1"/>
        <v>17400</v>
      </c>
    </row>
    <row r="76" spans="1:7" ht="15.75" x14ac:dyDescent="0.25">
      <c r="A76" s="4">
        <v>44127</v>
      </c>
      <c r="B76" s="1" t="s">
        <v>14</v>
      </c>
      <c r="C76" s="1" t="s">
        <v>15</v>
      </c>
      <c r="D76" s="1" t="s">
        <v>20</v>
      </c>
      <c r="E76" s="1">
        <v>65200</v>
      </c>
      <c r="F76" s="1">
        <v>6</v>
      </c>
      <c r="G76" s="7">
        <f t="shared" si="1"/>
        <v>391200</v>
      </c>
    </row>
    <row r="77" spans="1:7" ht="15.75" x14ac:dyDescent="0.25">
      <c r="A77" s="5">
        <v>44131</v>
      </c>
      <c r="B77" s="2" t="s">
        <v>9</v>
      </c>
      <c r="C77" s="2" t="s">
        <v>19</v>
      </c>
      <c r="D77" s="2" t="s">
        <v>20</v>
      </c>
      <c r="E77" s="2">
        <v>52000</v>
      </c>
      <c r="F77" s="2">
        <v>41</v>
      </c>
      <c r="G77" s="8">
        <f t="shared" si="1"/>
        <v>2132000</v>
      </c>
    </row>
    <row r="78" spans="1:7" ht="15.75" x14ac:dyDescent="0.25">
      <c r="A78" s="4">
        <v>44135</v>
      </c>
      <c r="B78" s="1" t="s">
        <v>11</v>
      </c>
      <c r="C78" s="1" t="s">
        <v>15</v>
      </c>
      <c r="D78" s="1" t="s">
        <v>10</v>
      </c>
      <c r="E78" s="1">
        <v>59000</v>
      </c>
      <c r="F78" s="1">
        <v>29</v>
      </c>
      <c r="G78" s="7">
        <f t="shared" si="1"/>
        <v>1711000</v>
      </c>
    </row>
    <row r="79" spans="1:7" ht="15.75" x14ac:dyDescent="0.25">
      <c r="A79" s="5">
        <v>44139</v>
      </c>
      <c r="B79" s="2" t="s">
        <v>18</v>
      </c>
      <c r="C79" s="2" t="s">
        <v>12</v>
      </c>
      <c r="D79" s="2" t="s">
        <v>20</v>
      </c>
      <c r="E79" s="2">
        <v>7999</v>
      </c>
      <c r="F79" s="2">
        <v>31</v>
      </c>
      <c r="G79" s="8">
        <f t="shared" si="1"/>
        <v>247969</v>
      </c>
    </row>
    <row r="80" spans="1:7" ht="15.75" x14ac:dyDescent="0.25">
      <c r="A80" s="4">
        <v>44143</v>
      </c>
      <c r="B80" s="1" t="s">
        <v>9</v>
      </c>
      <c r="C80" s="1" t="s">
        <v>16</v>
      </c>
      <c r="D80" s="1" t="s">
        <v>10</v>
      </c>
      <c r="E80" s="1">
        <v>45000</v>
      </c>
      <c r="F80" s="1">
        <v>34</v>
      </c>
      <c r="G80" s="7">
        <f t="shared" si="1"/>
        <v>1530000</v>
      </c>
    </row>
    <row r="81" spans="1:7" ht="15.75" x14ac:dyDescent="0.25">
      <c r="A81" s="5">
        <v>44147</v>
      </c>
      <c r="B81" s="2" t="s">
        <v>22</v>
      </c>
      <c r="C81" s="2" t="s">
        <v>21</v>
      </c>
      <c r="D81" s="2" t="s">
        <v>8</v>
      </c>
      <c r="E81" s="2">
        <v>990</v>
      </c>
      <c r="F81" s="2">
        <v>43</v>
      </c>
      <c r="G81" s="8">
        <f t="shared" si="1"/>
        <v>42570</v>
      </c>
    </row>
    <row r="82" spans="1:7" ht="15.75" x14ac:dyDescent="0.25">
      <c r="A82" s="4">
        <v>44151</v>
      </c>
      <c r="B82" s="1" t="s">
        <v>18</v>
      </c>
      <c r="C82" s="1" t="s">
        <v>19</v>
      </c>
      <c r="D82" s="1" t="s">
        <v>8</v>
      </c>
      <c r="E82" s="1">
        <v>11999</v>
      </c>
      <c r="F82" s="1">
        <v>37</v>
      </c>
      <c r="G82" s="7">
        <f t="shared" si="1"/>
        <v>443963</v>
      </c>
    </row>
    <row r="83" spans="1:7" ht="15.75" x14ac:dyDescent="0.25">
      <c r="A83" s="5">
        <v>44155</v>
      </c>
      <c r="B83" s="2" t="s">
        <v>18</v>
      </c>
      <c r="C83" s="2" t="s">
        <v>12</v>
      </c>
      <c r="D83" s="2" t="s">
        <v>8</v>
      </c>
      <c r="E83" s="2">
        <v>960</v>
      </c>
      <c r="F83" s="2">
        <v>7</v>
      </c>
      <c r="G83" s="8">
        <f t="shared" si="1"/>
        <v>6720</v>
      </c>
    </row>
    <row r="84" spans="1:7" ht="15.75" x14ac:dyDescent="0.25">
      <c r="A84" s="4">
        <v>44159</v>
      </c>
      <c r="B84" s="1" t="s">
        <v>9</v>
      </c>
      <c r="C84" s="1" t="s">
        <v>7</v>
      </c>
      <c r="D84" s="1" t="s">
        <v>13</v>
      </c>
      <c r="E84" s="1">
        <v>1450</v>
      </c>
      <c r="F84" s="1">
        <v>19</v>
      </c>
      <c r="G84" s="7">
        <f t="shared" si="1"/>
        <v>27550</v>
      </c>
    </row>
    <row r="85" spans="1:7" ht="15.75" x14ac:dyDescent="0.25">
      <c r="A85" s="5">
        <v>44163</v>
      </c>
      <c r="B85" s="2" t="s">
        <v>11</v>
      </c>
      <c r="C85" s="2" t="s">
        <v>15</v>
      </c>
      <c r="D85" s="2" t="s">
        <v>10</v>
      </c>
      <c r="E85" s="2">
        <v>45000</v>
      </c>
      <c r="F85" s="2">
        <v>47</v>
      </c>
      <c r="G85" s="8">
        <f t="shared" si="1"/>
        <v>2115000</v>
      </c>
    </row>
    <row r="86" spans="1:7" ht="15.75" x14ac:dyDescent="0.25">
      <c r="A86" s="4">
        <v>44167</v>
      </c>
      <c r="B86" s="1" t="s">
        <v>9</v>
      </c>
      <c r="C86" s="1" t="s">
        <v>21</v>
      </c>
      <c r="D86" s="1" t="s">
        <v>10</v>
      </c>
      <c r="E86" s="1">
        <v>1499</v>
      </c>
      <c r="F86" s="1">
        <v>37</v>
      </c>
      <c r="G86" s="7">
        <f t="shared" si="1"/>
        <v>55463</v>
      </c>
    </row>
    <row r="87" spans="1:7" ht="15.75" x14ac:dyDescent="0.25">
      <c r="A87" s="5">
        <v>44171</v>
      </c>
      <c r="B87" s="2" t="s">
        <v>18</v>
      </c>
      <c r="C87" s="2" t="s">
        <v>19</v>
      </c>
      <c r="D87" s="2" t="s">
        <v>13</v>
      </c>
      <c r="E87" s="2">
        <v>79999</v>
      </c>
      <c r="F87" s="2">
        <v>4</v>
      </c>
      <c r="G87" s="8">
        <f t="shared" si="1"/>
        <v>319996</v>
      </c>
    </row>
    <row r="88" spans="1:7" ht="15.75" x14ac:dyDescent="0.25">
      <c r="A88" s="4">
        <v>44175</v>
      </c>
      <c r="B88" s="1" t="s">
        <v>14</v>
      </c>
      <c r="C88" s="1" t="s">
        <v>15</v>
      </c>
      <c r="D88" s="1" t="s">
        <v>20</v>
      </c>
      <c r="E88" s="1">
        <v>999</v>
      </c>
      <c r="F88" s="1">
        <v>45</v>
      </c>
      <c r="G88" s="7">
        <f t="shared" si="1"/>
        <v>44955</v>
      </c>
    </row>
    <row r="89" spans="1:7" ht="15.75" x14ac:dyDescent="0.25">
      <c r="A89" s="5">
        <v>44179</v>
      </c>
      <c r="B89" s="2" t="s">
        <v>9</v>
      </c>
      <c r="C89" s="2" t="s">
        <v>19</v>
      </c>
      <c r="D89" s="2" t="s">
        <v>8</v>
      </c>
      <c r="E89" s="2">
        <v>52000</v>
      </c>
      <c r="F89" s="2">
        <v>15</v>
      </c>
      <c r="G89" s="8">
        <f t="shared" si="1"/>
        <v>780000</v>
      </c>
    </row>
    <row r="90" spans="1:7" ht="15.75" x14ac:dyDescent="0.25">
      <c r="A90" s="4">
        <v>44183</v>
      </c>
      <c r="B90" s="1" t="s">
        <v>11</v>
      </c>
      <c r="C90" s="1" t="s">
        <v>15</v>
      </c>
      <c r="D90" s="1" t="s">
        <v>17</v>
      </c>
      <c r="E90" s="1">
        <v>52000</v>
      </c>
      <c r="F90" s="1">
        <v>39</v>
      </c>
      <c r="G90" s="7">
        <f t="shared" si="1"/>
        <v>2028000</v>
      </c>
    </row>
    <row r="91" spans="1:7" ht="15.75" x14ac:dyDescent="0.25">
      <c r="A91" s="5">
        <v>44187</v>
      </c>
      <c r="B91" s="2" t="s">
        <v>18</v>
      </c>
      <c r="C91" s="2" t="s">
        <v>12</v>
      </c>
      <c r="D91" s="2" t="s">
        <v>13</v>
      </c>
      <c r="E91" s="2">
        <v>960</v>
      </c>
      <c r="F91" s="2">
        <v>33</v>
      </c>
      <c r="G91" s="8">
        <f t="shared" si="1"/>
        <v>31680</v>
      </c>
    </row>
    <row r="92" spans="1:7" ht="15.75" x14ac:dyDescent="0.25">
      <c r="A92" s="4">
        <v>44191</v>
      </c>
      <c r="B92" s="1" t="s">
        <v>18</v>
      </c>
      <c r="C92" s="1" t="s">
        <v>15</v>
      </c>
      <c r="D92" s="1" t="s">
        <v>17</v>
      </c>
      <c r="E92" s="1">
        <v>19500</v>
      </c>
      <c r="F92" s="1">
        <v>45</v>
      </c>
      <c r="G92" s="7">
        <f t="shared" si="1"/>
        <v>877500</v>
      </c>
    </row>
    <row r="93" spans="1:7" ht="15.75" x14ac:dyDescent="0.25">
      <c r="A93" s="5">
        <v>44195</v>
      </c>
      <c r="B93" s="2" t="s">
        <v>18</v>
      </c>
      <c r="C93" s="2" t="s">
        <v>19</v>
      </c>
      <c r="D93" s="2" t="s">
        <v>17</v>
      </c>
      <c r="E93" s="2">
        <v>2999</v>
      </c>
      <c r="F93" s="2">
        <v>33</v>
      </c>
      <c r="G93" s="8">
        <f t="shared" si="1"/>
        <v>98967</v>
      </c>
    </row>
    <row r="94" spans="1:7" ht="15.75" x14ac:dyDescent="0.25">
      <c r="A94" s="4">
        <v>44199</v>
      </c>
      <c r="B94" s="1" t="s">
        <v>9</v>
      </c>
      <c r="C94" s="1" t="s">
        <v>12</v>
      </c>
      <c r="D94" s="1" t="s">
        <v>20</v>
      </c>
      <c r="E94" s="1">
        <v>1250</v>
      </c>
      <c r="F94" s="1">
        <v>14</v>
      </c>
      <c r="G94" s="7">
        <f t="shared" si="1"/>
        <v>17500</v>
      </c>
    </row>
    <row r="95" spans="1:7" ht="15.75" x14ac:dyDescent="0.25">
      <c r="A95" s="5">
        <v>44203</v>
      </c>
      <c r="B95" s="2" t="s">
        <v>9</v>
      </c>
      <c r="C95" s="2" t="s">
        <v>16</v>
      </c>
      <c r="D95" s="2" t="s">
        <v>8</v>
      </c>
      <c r="E95" s="2">
        <v>120</v>
      </c>
      <c r="F95" s="2">
        <v>41</v>
      </c>
      <c r="G95" s="8">
        <f t="shared" si="1"/>
        <v>4920</v>
      </c>
    </row>
    <row r="96" spans="1:7" ht="15.75" x14ac:dyDescent="0.25">
      <c r="A96" s="4">
        <v>44207</v>
      </c>
      <c r="B96" s="1" t="s">
        <v>11</v>
      </c>
      <c r="C96" s="1" t="s">
        <v>7</v>
      </c>
      <c r="D96" s="1" t="s">
        <v>17</v>
      </c>
      <c r="E96" s="1">
        <v>1450</v>
      </c>
      <c r="F96" s="1">
        <v>22</v>
      </c>
      <c r="G96" s="7">
        <f t="shared" si="1"/>
        <v>31900</v>
      </c>
    </row>
    <row r="97" spans="1:7" ht="15.75" x14ac:dyDescent="0.25">
      <c r="A97" s="5">
        <v>44211</v>
      </c>
      <c r="B97" s="2" t="s">
        <v>18</v>
      </c>
      <c r="C97" s="2" t="s">
        <v>19</v>
      </c>
      <c r="D97" s="2" t="s">
        <v>8</v>
      </c>
      <c r="E97" s="2">
        <v>89999</v>
      </c>
      <c r="F97" s="2">
        <v>15</v>
      </c>
      <c r="G97" s="8">
        <f t="shared" si="1"/>
        <v>1349985</v>
      </c>
    </row>
    <row r="98" spans="1:7" ht="15.75" x14ac:dyDescent="0.25">
      <c r="A98" s="4">
        <v>44215</v>
      </c>
      <c r="B98" s="1" t="s">
        <v>22</v>
      </c>
      <c r="C98" s="1" t="s">
        <v>15</v>
      </c>
      <c r="D98" s="1" t="s">
        <v>13</v>
      </c>
      <c r="E98" s="1">
        <v>1999</v>
      </c>
      <c r="F98" s="1">
        <v>48</v>
      </c>
      <c r="G98" s="7">
        <f t="shared" si="1"/>
        <v>95952</v>
      </c>
    </row>
    <row r="99" spans="1:7" ht="15.75" x14ac:dyDescent="0.25">
      <c r="A99" s="5">
        <v>44219</v>
      </c>
      <c r="B99" s="2" t="s">
        <v>22</v>
      </c>
      <c r="C99" s="2" t="s">
        <v>21</v>
      </c>
      <c r="D99" s="2" t="s">
        <v>17</v>
      </c>
      <c r="E99" s="2">
        <v>2900</v>
      </c>
      <c r="F99" s="2">
        <v>49</v>
      </c>
      <c r="G99" s="8">
        <f t="shared" si="1"/>
        <v>142100</v>
      </c>
    </row>
    <row r="100" spans="1:7" ht="15.75" x14ac:dyDescent="0.25">
      <c r="A100" s="4">
        <v>44223</v>
      </c>
      <c r="B100" s="1" t="s">
        <v>18</v>
      </c>
      <c r="C100" s="1" t="s">
        <v>19</v>
      </c>
      <c r="D100" s="1" t="s">
        <v>20</v>
      </c>
      <c r="E100" s="1">
        <v>700</v>
      </c>
      <c r="F100" s="1">
        <v>50</v>
      </c>
      <c r="G100" s="7">
        <f t="shared" si="1"/>
        <v>35000</v>
      </c>
    </row>
    <row r="101" spans="1:7" ht="15.75" x14ac:dyDescent="0.25">
      <c r="A101" s="5">
        <v>44227</v>
      </c>
      <c r="B101" s="2" t="s">
        <v>14</v>
      </c>
      <c r="C101" s="2" t="s">
        <v>16</v>
      </c>
      <c r="D101" s="2" t="s">
        <v>17</v>
      </c>
      <c r="E101" s="2">
        <v>200</v>
      </c>
      <c r="F101" s="2">
        <v>41</v>
      </c>
      <c r="G101" s="8">
        <f t="shared" si="1"/>
        <v>8200</v>
      </c>
    </row>
    <row r="102" spans="1:7" ht="15.75" x14ac:dyDescent="0.25">
      <c r="A102" s="4">
        <v>44231</v>
      </c>
      <c r="B102" s="1" t="s">
        <v>11</v>
      </c>
      <c r="C102" s="1" t="s">
        <v>15</v>
      </c>
      <c r="D102" s="1" t="s">
        <v>10</v>
      </c>
      <c r="E102" s="1">
        <v>49000</v>
      </c>
      <c r="F102" s="1">
        <v>29</v>
      </c>
      <c r="G102" s="7">
        <f t="shared" si="1"/>
        <v>1421000</v>
      </c>
    </row>
    <row r="103" spans="1:7" ht="15.75" x14ac:dyDescent="0.25">
      <c r="A103" s="5">
        <v>44235</v>
      </c>
      <c r="B103" s="2" t="s">
        <v>6</v>
      </c>
      <c r="C103" s="2" t="s">
        <v>7</v>
      </c>
      <c r="D103" s="2" t="s">
        <v>20</v>
      </c>
      <c r="E103" s="2">
        <v>5599</v>
      </c>
      <c r="F103" s="2">
        <v>36</v>
      </c>
      <c r="G103" s="8">
        <f t="shared" si="1"/>
        <v>201564</v>
      </c>
    </row>
    <row r="104" spans="1:7" ht="15.75" x14ac:dyDescent="0.25">
      <c r="A104" s="4">
        <v>44239</v>
      </c>
      <c r="B104" s="1" t="s">
        <v>14</v>
      </c>
      <c r="C104" s="1" t="s">
        <v>16</v>
      </c>
      <c r="D104" s="1" t="s">
        <v>17</v>
      </c>
      <c r="E104" s="1">
        <v>13500</v>
      </c>
      <c r="F104" s="1">
        <v>39</v>
      </c>
      <c r="G104" s="7">
        <f t="shared" si="1"/>
        <v>526500</v>
      </c>
    </row>
    <row r="105" spans="1:7" ht="15.75" x14ac:dyDescent="0.25">
      <c r="A105" s="5">
        <v>44243</v>
      </c>
      <c r="B105" s="2" t="s">
        <v>11</v>
      </c>
      <c r="C105" s="2" t="s">
        <v>19</v>
      </c>
      <c r="D105" s="2" t="s">
        <v>17</v>
      </c>
      <c r="E105" s="2">
        <v>79999</v>
      </c>
      <c r="F105" s="2">
        <v>9</v>
      </c>
      <c r="G105" s="8">
        <f t="shared" si="1"/>
        <v>719991</v>
      </c>
    </row>
    <row r="106" spans="1:7" ht="15.75" x14ac:dyDescent="0.25">
      <c r="A106" s="4">
        <v>44247</v>
      </c>
      <c r="B106" s="1" t="s">
        <v>18</v>
      </c>
      <c r="C106" s="1" t="s">
        <v>15</v>
      </c>
      <c r="D106" s="1" t="s">
        <v>13</v>
      </c>
      <c r="E106" s="1">
        <v>75200</v>
      </c>
      <c r="F106" s="1">
        <v>38</v>
      </c>
      <c r="G106" s="7">
        <f t="shared" si="1"/>
        <v>2857600</v>
      </c>
    </row>
    <row r="107" spans="1:7" ht="15.75" x14ac:dyDescent="0.25">
      <c r="A107" s="5">
        <v>44251</v>
      </c>
      <c r="B107" s="2" t="s">
        <v>18</v>
      </c>
      <c r="C107" s="2" t="s">
        <v>12</v>
      </c>
      <c r="D107" s="2" t="s">
        <v>8</v>
      </c>
      <c r="E107" s="2">
        <v>550</v>
      </c>
      <c r="F107" s="2">
        <v>25</v>
      </c>
      <c r="G107" s="8">
        <f t="shared" si="1"/>
        <v>13750</v>
      </c>
    </row>
    <row r="108" spans="1:7" ht="15.75" x14ac:dyDescent="0.25">
      <c r="A108" s="4">
        <v>44255</v>
      </c>
      <c r="B108" s="1" t="s">
        <v>6</v>
      </c>
      <c r="C108" s="1" t="s">
        <v>7</v>
      </c>
      <c r="D108" s="1" t="s">
        <v>8</v>
      </c>
      <c r="E108" s="1">
        <v>499</v>
      </c>
      <c r="F108" s="1">
        <v>50</v>
      </c>
      <c r="G108" s="7">
        <f t="shared" si="1"/>
        <v>24950</v>
      </c>
    </row>
    <row r="109" spans="1:7" ht="15.75" x14ac:dyDescent="0.25">
      <c r="A109" s="5">
        <v>44259</v>
      </c>
      <c r="B109" s="2" t="s">
        <v>6</v>
      </c>
      <c r="C109" s="2" t="s">
        <v>7</v>
      </c>
      <c r="D109" s="2" t="s">
        <v>10</v>
      </c>
      <c r="E109" s="2">
        <v>5599</v>
      </c>
      <c r="F109" s="2">
        <v>33</v>
      </c>
      <c r="G109" s="8">
        <f t="shared" si="1"/>
        <v>184767</v>
      </c>
    </row>
    <row r="110" spans="1:7" ht="15.75" x14ac:dyDescent="0.25">
      <c r="A110" s="4">
        <v>44263</v>
      </c>
      <c r="B110" s="1" t="s">
        <v>11</v>
      </c>
      <c r="C110" s="1" t="s">
        <v>12</v>
      </c>
      <c r="D110" s="1" t="s">
        <v>13</v>
      </c>
      <c r="E110" s="1">
        <v>1450</v>
      </c>
      <c r="F110" s="1">
        <v>44</v>
      </c>
      <c r="G110" s="7">
        <f t="shared" si="1"/>
        <v>63800</v>
      </c>
    </row>
    <row r="111" spans="1:7" ht="15.75" x14ac:dyDescent="0.25">
      <c r="A111" s="5">
        <v>44267</v>
      </c>
      <c r="B111" s="2" t="s">
        <v>14</v>
      </c>
      <c r="C111" s="2" t="s">
        <v>16</v>
      </c>
      <c r="D111" s="2" t="s">
        <v>8</v>
      </c>
      <c r="E111" s="2">
        <v>999</v>
      </c>
      <c r="F111" s="2">
        <v>31</v>
      </c>
      <c r="G111" s="8">
        <f t="shared" si="1"/>
        <v>30969</v>
      </c>
    </row>
    <row r="112" spans="1:7" ht="15.75" x14ac:dyDescent="0.25">
      <c r="A112" s="4">
        <v>44271</v>
      </c>
      <c r="B112" s="1" t="s">
        <v>14</v>
      </c>
      <c r="C112" s="1" t="s">
        <v>16</v>
      </c>
      <c r="D112" s="1" t="s">
        <v>17</v>
      </c>
      <c r="E112" s="1">
        <v>100</v>
      </c>
      <c r="F112" s="1">
        <v>11</v>
      </c>
      <c r="G112" s="7">
        <f t="shared" si="1"/>
        <v>1100</v>
      </c>
    </row>
    <row r="113" spans="1:7" ht="15.75" x14ac:dyDescent="0.25">
      <c r="A113" s="5">
        <v>44275</v>
      </c>
      <c r="B113" s="2" t="s">
        <v>11</v>
      </c>
      <c r="C113" s="2" t="s">
        <v>7</v>
      </c>
      <c r="D113" s="2" t="s">
        <v>17</v>
      </c>
      <c r="E113" s="2">
        <v>2550</v>
      </c>
      <c r="F113" s="2">
        <v>48</v>
      </c>
      <c r="G113" s="8">
        <f t="shared" si="1"/>
        <v>122400</v>
      </c>
    </row>
    <row r="114" spans="1:7" ht="15.75" x14ac:dyDescent="0.25">
      <c r="A114" s="4">
        <v>44279</v>
      </c>
      <c r="B114" s="1" t="s">
        <v>18</v>
      </c>
      <c r="C114" s="1" t="s">
        <v>19</v>
      </c>
      <c r="D114" s="1" t="s">
        <v>17</v>
      </c>
      <c r="E114" s="1">
        <v>33000</v>
      </c>
      <c r="F114" s="1">
        <v>26</v>
      </c>
      <c r="G114" s="7">
        <f t="shared" si="1"/>
        <v>858000</v>
      </c>
    </row>
    <row r="115" spans="1:7" ht="15.75" x14ac:dyDescent="0.25">
      <c r="A115" s="5">
        <v>44283</v>
      </c>
      <c r="B115" s="2" t="s">
        <v>9</v>
      </c>
      <c r="C115" s="2" t="s">
        <v>7</v>
      </c>
      <c r="D115" s="2" t="s">
        <v>13</v>
      </c>
      <c r="E115" s="2">
        <v>800</v>
      </c>
      <c r="F115" s="2">
        <v>39</v>
      </c>
      <c r="G115" s="8">
        <f t="shared" si="1"/>
        <v>31200</v>
      </c>
    </row>
    <row r="116" spans="1:7" ht="15.75" x14ac:dyDescent="0.25">
      <c r="A116" s="4">
        <v>44287</v>
      </c>
      <c r="B116" s="1" t="s">
        <v>22</v>
      </c>
      <c r="C116" s="1" t="s">
        <v>21</v>
      </c>
      <c r="D116" s="1" t="s">
        <v>13</v>
      </c>
      <c r="E116" s="1">
        <v>990</v>
      </c>
      <c r="F116" s="1">
        <v>9</v>
      </c>
      <c r="G116" s="7">
        <f t="shared" si="1"/>
        <v>8910</v>
      </c>
    </row>
    <row r="117" spans="1:7" ht="15.75" x14ac:dyDescent="0.25">
      <c r="A117" s="5">
        <v>44291</v>
      </c>
      <c r="B117" s="2" t="s">
        <v>6</v>
      </c>
      <c r="C117" s="2" t="s">
        <v>7</v>
      </c>
      <c r="D117" s="2" t="s">
        <v>8</v>
      </c>
      <c r="E117" s="2">
        <v>5599</v>
      </c>
      <c r="F117" s="2">
        <v>41</v>
      </c>
      <c r="G117" s="8">
        <f t="shared" si="1"/>
        <v>229559</v>
      </c>
    </row>
    <row r="118" spans="1:7" ht="15.75" x14ac:dyDescent="0.25">
      <c r="A118" s="4">
        <v>44295</v>
      </c>
      <c r="B118" s="1" t="s">
        <v>18</v>
      </c>
      <c r="C118" s="1" t="s">
        <v>19</v>
      </c>
      <c r="D118" s="1" t="s">
        <v>8</v>
      </c>
      <c r="E118" s="1">
        <v>499</v>
      </c>
      <c r="F118" s="1">
        <v>39</v>
      </c>
      <c r="G118" s="7">
        <f t="shared" si="1"/>
        <v>19461</v>
      </c>
    </row>
    <row r="119" spans="1:7" ht="15.75" x14ac:dyDescent="0.25">
      <c r="A119" s="5">
        <v>44299</v>
      </c>
      <c r="B119" s="2" t="s">
        <v>22</v>
      </c>
      <c r="C119" s="2" t="s">
        <v>21</v>
      </c>
      <c r="D119" s="2" t="s">
        <v>8</v>
      </c>
      <c r="E119" s="2">
        <v>1999</v>
      </c>
      <c r="F119" s="2">
        <v>4</v>
      </c>
      <c r="G119" s="8">
        <f t="shared" si="1"/>
        <v>7996</v>
      </c>
    </row>
    <row r="120" spans="1:7" ht="15.75" x14ac:dyDescent="0.25">
      <c r="A120" s="4">
        <v>44303</v>
      </c>
      <c r="B120" s="1" t="s">
        <v>11</v>
      </c>
      <c r="C120" s="1" t="s">
        <v>16</v>
      </c>
      <c r="D120" s="1" t="s">
        <v>8</v>
      </c>
      <c r="E120" s="1">
        <v>200</v>
      </c>
      <c r="F120" s="1">
        <v>8</v>
      </c>
      <c r="G120" s="7">
        <f t="shared" si="1"/>
        <v>1600</v>
      </c>
    </row>
    <row r="121" spans="1:7" ht="15.75" x14ac:dyDescent="0.25">
      <c r="A121" s="5">
        <v>44307</v>
      </c>
      <c r="B121" s="2" t="s">
        <v>22</v>
      </c>
      <c r="C121" s="2" t="s">
        <v>21</v>
      </c>
      <c r="D121" s="2" t="s">
        <v>13</v>
      </c>
      <c r="E121" s="2">
        <v>1499</v>
      </c>
      <c r="F121" s="2">
        <v>27</v>
      </c>
      <c r="G121" s="8">
        <f t="shared" si="1"/>
        <v>40473</v>
      </c>
    </row>
    <row r="122" spans="1:7" ht="15.75" x14ac:dyDescent="0.25">
      <c r="A122" s="4">
        <v>44311</v>
      </c>
      <c r="B122" s="1" t="s">
        <v>14</v>
      </c>
      <c r="C122" s="1" t="s">
        <v>16</v>
      </c>
      <c r="D122" s="1" t="s">
        <v>20</v>
      </c>
      <c r="E122" s="1">
        <v>120</v>
      </c>
      <c r="F122" s="1">
        <v>10</v>
      </c>
      <c r="G122" s="7">
        <f t="shared" si="1"/>
        <v>1200</v>
      </c>
    </row>
    <row r="123" spans="1:7" ht="15.75" x14ac:dyDescent="0.25">
      <c r="A123" s="5">
        <v>44315</v>
      </c>
      <c r="B123" s="2" t="s">
        <v>9</v>
      </c>
      <c r="C123" s="2" t="s">
        <v>19</v>
      </c>
      <c r="D123" s="2" t="s">
        <v>20</v>
      </c>
      <c r="E123" s="2">
        <v>11999</v>
      </c>
      <c r="F123" s="2">
        <v>17</v>
      </c>
      <c r="G123" s="8">
        <f t="shared" si="1"/>
        <v>203983</v>
      </c>
    </row>
    <row r="124" spans="1:7" ht="15.75" x14ac:dyDescent="0.25">
      <c r="A124" s="4">
        <v>44319</v>
      </c>
      <c r="B124" s="1" t="s">
        <v>9</v>
      </c>
      <c r="C124" s="1" t="s">
        <v>19</v>
      </c>
      <c r="D124" s="1" t="s">
        <v>10</v>
      </c>
      <c r="E124" s="1">
        <v>999</v>
      </c>
      <c r="F124" s="1">
        <v>27</v>
      </c>
      <c r="G124" s="7">
        <f t="shared" si="1"/>
        <v>26973</v>
      </c>
    </row>
    <row r="125" spans="1:7" ht="15.75" x14ac:dyDescent="0.25">
      <c r="A125" s="5">
        <v>44323</v>
      </c>
      <c r="B125" s="2" t="s">
        <v>11</v>
      </c>
      <c r="C125" s="2" t="s">
        <v>19</v>
      </c>
      <c r="D125" s="2" t="s">
        <v>13</v>
      </c>
      <c r="E125" s="2">
        <v>2999</v>
      </c>
      <c r="F125" s="2">
        <v>43</v>
      </c>
      <c r="G125" s="8">
        <f t="shared" si="1"/>
        <v>128957</v>
      </c>
    </row>
    <row r="126" spans="1:7" ht="15.75" x14ac:dyDescent="0.25">
      <c r="A126" s="4">
        <v>44327</v>
      </c>
      <c r="B126" s="1" t="s">
        <v>14</v>
      </c>
      <c r="C126" s="1" t="s">
        <v>15</v>
      </c>
      <c r="D126" s="1" t="s">
        <v>10</v>
      </c>
      <c r="E126" s="1">
        <v>47800</v>
      </c>
      <c r="F126" s="1">
        <v>9</v>
      </c>
      <c r="G126" s="7">
        <f t="shared" si="1"/>
        <v>430200</v>
      </c>
    </row>
    <row r="127" spans="1:7" ht="15.75" x14ac:dyDescent="0.25">
      <c r="A127" s="5">
        <v>44331</v>
      </c>
      <c r="B127" s="2" t="s">
        <v>18</v>
      </c>
      <c r="C127" s="2" t="s">
        <v>15</v>
      </c>
      <c r="D127" s="2" t="s">
        <v>8</v>
      </c>
      <c r="E127" s="2">
        <v>22000</v>
      </c>
      <c r="F127" s="2">
        <v>42</v>
      </c>
      <c r="G127" s="8">
        <f t="shared" si="1"/>
        <v>924000</v>
      </c>
    </row>
    <row r="128" spans="1:7" ht="15.75" x14ac:dyDescent="0.25">
      <c r="A128" s="4">
        <v>44335</v>
      </c>
      <c r="B128" s="1" t="s">
        <v>18</v>
      </c>
      <c r="C128" s="1" t="s">
        <v>12</v>
      </c>
      <c r="D128" s="1" t="s">
        <v>10</v>
      </c>
      <c r="E128" s="1">
        <v>1250</v>
      </c>
      <c r="F128" s="1">
        <v>6</v>
      </c>
      <c r="G128" s="7">
        <f t="shared" si="1"/>
        <v>7500</v>
      </c>
    </row>
    <row r="129" spans="1:7" ht="15.75" x14ac:dyDescent="0.25">
      <c r="A129" s="5">
        <v>44339</v>
      </c>
      <c r="B129" s="2" t="s">
        <v>14</v>
      </c>
      <c r="C129" s="2" t="s">
        <v>16</v>
      </c>
      <c r="D129" s="2" t="s">
        <v>13</v>
      </c>
      <c r="E129" s="2">
        <v>999</v>
      </c>
      <c r="F129" s="2">
        <v>28</v>
      </c>
      <c r="G129" s="8">
        <f t="shared" si="1"/>
        <v>27972</v>
      </c>
    </row>
    <row r="130" spans="1:7" ht="15.75" x14ac:dyDescent="0.25">
      <c r="A130" s="4">
        <v>44343</v>
      </c>
      <c r="B130" s="1" t="s">
        <v>18</v>
      </c>
      <c r="C130" s="1" t="s">
        <v>12</v>
      </c>
      <c r="D130" s="1" t="s">
        <v>20</v>
      </c>
      <c r="E130" s="1">
        <v>1450</v>
      </c>
      <c r="F130" s="1">
        <v>13</v>
      </c>
      <c r="G130" s="7">
        <f t="shared" si="1"/>
        <v>18850</v>
      </c>
    </row>
    <row r="131" spans="1:7" ht="15.75" x14ac:dyDescent="0.25">
      <c r="A131" s="5">
        <v>44347</v>
      </c>
      <c r="B131" s="2" t="s">
        <v>18</v>
      </c>
      <c r="C131" s="2" t="s">
        <v>12</v>
      </c>
      <c r="D131" s="2" t="s">
        <v>20</v>
      </c>
      <c r="E131" s="2">
        <v>23999</v>
      </c>
      <c r="F131" s="2">
        <v>8</v>
      </c>
      <c r="G131" s="8">
        <f t="shared" ref="G131:G194" si="2">E131*F131</f>
        <v>191992</v>
      </c>
    </row>
    <row r="132" spans="1:7" ht="15.75" x14ac:dyDescent="0.25">
      <c r="A132" s="4">
        <v>44351</v>
      </c>
      <c r="B132" s="1" t="s">
        <v>9</v>
      </c>
      <c r="C132" s="1" t="s">
        <v>15</v>
      </c>
      <c r="D132" s="1" t="s">
        <v>20</v>
      </c>
      <c r="E132" s="1">
        <v>92000</v>
      </c>
      <c r="F132" s="1">
        <v>7</v>
      </c>
      <c r="G132" s="7">
        <f t="shared" si="2"/>
        <v>644000</v>
      </c>
    </row>
    <row r="133" spans="1:7" ht="15.75" x14ac:dyDescent="0.25">
      <c r="A133" s="5">
        <v>44355</v>
      </c>
      <c r="B133" s="2" t="s">
        <v>22</v>
      </c>
      <c r="C133" s="2" t="s">
        <v>21</v>
      </c>
      <c r="D133" s="2" t="s">
        <v>13</v>
      </c>
      <c r="E133" s="2">
        <v>699</v>
      </c>
      <c r="F133" s="2">
        <v>45</v>
      </c>
      <c r="G133" s="8">
        <f t="shared" si="2"/>
        <v>31455</v>
      </c>
    </row>
    <row r="134" spans="1:7" ht="15.75" x14ac:dyDescent="0.25">
      <c r="A134" s="4">
        <v>44359</v>
      </c>
      <c r="B134" s="1" t="s">
        <v>6</v>
      </c>
      <c r="C134" s="1" t="s">
        <v>7</v>
      </c>
      <c r="D134" s="1" t="s">
        <v>8</v>
      </c>
      <c r="E134" s="1">
        <v>2550</v>
      </c>
      <c r="F134" s="1">
        <v>22</v>
      </c>
      <c r="G134" s="7">
        <f t="shared" si="2"/>
        <v>56100</v>
      </c>
    </row>
    <row r="135" spans="1:7" ht="15.75" x14ac:dyDescent="0.25">
      <c r="A135" s="5">
        <v>44363</v>
      </c>
      <c r="B135" s="2" t="s">
        <v>11</v>
      </c>
      <c r="C135" s="2" t="s">
        <v>19</v>
      </c>
      <c r="D135" s="2" t="s">
        <v>20</v>
      </c>
      <c r="E135" s="2">
        <v>22000</v>
      </c>
      <c r="F135" s="2">
        <v>4</v>
      </c>
      <c r="G135" s="8">
        <f t="shared" si="2"/>
        <v>88000</v>
      </c>
    </row>
    <row r="136" spans="1:7" ht="15.75" x14ac:dyDescent="0.25">
      <c r="A136" s="4">
        <v>44367</v>
      </c>
      <c r="B136" s="1" t="s">
        <v>18</v>
      </c>
      <c r="C136" s="1" t="s">
        <v>19</v>
      </c>
      <c r="D136" s="1" t="s">
        <v>8</v>
      </c>
      <c r="E136" s="1">
        <v>22000</v>
      </c>
      <c r="F136" s="1">
        <v>10</v>
      </c>
      <c r="G136" s="7">
        <f t="shared" si="2"/>
        <v>220000</v>
      </c>
    </row>
    <row r="137" spans="1:7" ht="15.75" x14ac:dyDescent="0.25">
      <c r="A137" s="5">
        <v>44371</v>
      </c>
      <c r="B137" s="2" t="s">
        <v>9</v>
      </c>
      <c r="C137" s="2" t="s">
        <v>21</v>
      </c>
      <c r="D137" s="2" t="s">
        <v>13</v>
      </c>
      <c r="E137" s="2">
        <v>1499</v>
      </c>
      <c r="F137" s="2">
        <v>16</v>
      </c>
      <c r="G137" s="8">
        <f t="shared" si="2"/>
        <v>23984</v>
      </c>
    </row>
    <row r="138" spans="1:7" ht="15.75" x14ac:dyDescent="0.25">
      <c r="A138" s="4">
        <v>44375</v>
      </c>
      <c r="B138" s="1" t="s">
        <v>14</v>
      </c>
      <c r="C138" s="1" t="s">
        <v>16</v>
      </c>
      <c r="D138" s="1" t="s">
        <v>20</v>
      </c>
      <c r="E138" s="1">
        <v>120</v>
      </c>
      <c r="F138" s="1">
        <v>22</v>
      </c>
      <c r="G138" s="7">
        <f t="shared" si="2"/>
        <v>2640</v>
      </c>
    </row>
    <row r="139" spans="1:7" ht="15.75" x14ac:dyDescent="0.25">
      <c r="A139" s="5">
        <v>44379</v>
      </c>
      <c r="B139" s="2" t="s">
        <v>6</v>
      </c>
      <c r="C139" s="2" t="s">
        <v>7</v>
      </c>
      <c r="D139" s="2" t="s">
        <v>10</v>
      </c>
      <c r="E139" s="2">
        <v>1450</v>
      </c>
      <c r="F139" s="2">
        <v>20</v>
      </c>
      <c r="G139" s="8">
        <f t="shared" si="2"/>
        <v>29000</v>
      </c>
    </row>
    <row r="140" spans="1:7" ht="15.75" x14ac:dyDescent="0.25">
      <c r="A140" s="4">
        <v>44383</v>
      </c>
      <c r="B140" s="1" t="s">
        <v>22</v>
      </c>
      <c r="C140" s="1" t="s">
        <v>21</v>
      </c>
      <c r="D140" s="1" t="s">
        <v>13</v>
      </c>
      <c r="E140" s="1">
        <v>1999</v>
      </c>
      <c r="F140" s="1">
        <v>23</v>
      </c>
      <c r="G140" s="7">
        <f t="shared" si="2"/>
        <v>45977</v>
      </c>
    </row>
    <row r="141" spans="1:7" ht="15.75" x14ac:dyDescent="0.25">
      <c r="A141" s="5">
        <v>44387</v>
      </c>
      <c r="B141" s="2" t="s">
        <v>9</v>
      </c>
      <c r="C141" s="2" t="s">
        <v>7</v>
      </c>
      <c r="D141" s="2" t="s">
        <v>23</v>
      </c>
      <c r="E141" s="2">
        <v>800</v>
      </c>
      <c r="F141" s="2">
        <v>43</v>
      </c>
      <c r="G141" s="8">
        <f t="shared" si="2"/>
        <v>34400</v>
      </c>
    </row>
    <row r="142" spans="1:7" ht="15.75" x14ac:dyDescent="0.25">
      <c r="A142" s="4">
        <v>44391</v>
      </c>
      <c r="B142" s="1" t="s">
        <v>14</v>
      </c>
      <c r="C142" s="1" t="s">
        <v>16</v>
      </c>
      <c r="D142" s="1" t="s">
        <v>20</v>
      </c>
      <c r="E142" s="1">
        <v>100</v>
      </c>
      <c r="F142" s="1">
        <v>41</v>
      </c>
      <c r="G142" s="7">
        <f t="shared" si="2"/>
        <v>4100</v>
      </c>
    </row>
    <row r="143" spans="1:7" ht="15.75" x14ac:dyDescent="0.25">
      <c r="A143" s="5">
        <v>44395</v>
      </c>
      <c r="B143" s="2" t="s">
        <v>6</v>
      </c>
      <c r="C143" s="2" t="s">
        <v>15</v>
      </c>
      <c r="D143" s="2" t="s">
        <v>20</v>
      </c>
      <c r="E143" s="2">
        <v>13999</v>
      </c>
      <c r="F143" s="2">
        <v>37</v>
      </c>
      <c r="G143" s="8">
        <f t="shared" si="2"/>
        <v>517963</v>
      </c>
    </row>
    <row r="144" spans="1:7" ht="15.75" x14ac:dyDescent="0.25">
      <c r="A144" s="4">
        <v>44399</v>
      </c>
      <c r="B144" s="1" t="s">
        <v>11</v>
      </c>
      <c r="C144" s="1" t="s">
        <v>19</v>
      </c>
      <c r="D144" s="1" t="s">
        <v>17</v>
      </c>
      <c r="E144" s="1">
        <v>22000</v>
      </c>
      <c r="F144" s="1">
        <v>45</v>
      </c>
      <c r="G144" s="7">
        <f t="shared" si="2"/>
        <v>990000</v>
      </c>
    </row>
    <row r="145" spans="1:7" ht="15.75" x14ac:dyDescent="0.25">
      <c r="A145" s="5">
        <v>44403</v>
      </c>
      <c r="B145" s="2" t="s">
        <v>18</v>
      </c>
      <c r="C145" s="2" t="s">
        <v>19</v>
      </c>
      <c r="D145" s="2" t="s">
        <v>23</v>
      </c>
      <c r="E145" s="2">
        <v>89999</v>
      </c>
      <c r="F145" s="2">
        <v>15</v>
      </c>
      <c r="G145" s="8">
        <f t="shared" si="2"/>
        <v>1349985</v>
      </c>
    </row>
    <row r="146" spans="1:7" ht="15.75" x14ac:dyDescent="0.25">
      <c r="A146" s="4">
        <v>44407</v>
      </c>
      <c r="B146" s="1" t="s">
        <v>6</v>
      </c>
      <c r="C146" s="1" t="s">
        <v>7</v>
      </c>
      <c r="D146" s="1" t="s">
        <v>17</v>
      </c>
      <c r="E146" s="1">
        <v>13999</v>
      </c>
      <c r="F146" s="1">
        <v>22</v>
      </c>
      <c r="G146" s="7">
        <f t="shared" si="2"/>
        <v>307978</v>
      </c>
    </row>
    <row r="147" spans="1:7" ht="15.75" x14ac:dyDescent="0.25">
      <c r="A147" s="5">
        <v>44411</v>
      </c>
      <c r="B147" s="2" t="s">
        <v>9</v>
      </c>
      <c r="C147" s="2" t="s">
        <v>21</v>
      </c>
      <c r="D147" s="2" t="s">
        <v>13</v>
      </c>
      <c r="E147" s="2">
        <v>2900</v>
      </c>
      <c r="F147" s="2">
        <v>20</v>
      </c>
      <c r="G147" s="8">
        <f t="shared" si="2"/>
        <v>58000</v>
      </c>
    </row>
    <row r="148" spans="1:7" ht="15.75" x14ac:dyDescent="0.25">
      <c r="A148" s="4">
        <v>44415</v>
      </c>
      <c r="B148" s="1" t="s">
        <v>18</v>
      </c>
      <c r="C148" s="1" t="s">
        <v>19</v>
      </c>
      <c r="D148" s="1" t="s">
        <v>17</v>
      </c>
      <c r="E148" s="1">
        <v>33000</v>
      </c>
      <c r="F148" s="1">
        <v>16</v>
      </c>
      <c r="G148" s="7">
        <f t="shared" si="2"/>
        <v>528000</v>
      </c>
    </row>
    <row r="149" spans="1:7" ht="15.75" x14ac:dyDescent="0.25">
      <c r="A149" s="5">
        <v>44419</v>
      </c>
      <c r="B149" s="2" t="s">
        <v>9</v>
      </c>
      <c r="C149" s="2" t="s">
        <v>19</v>
      </c>
      <c r="D149" s="2" t="s">
        <v>10</v>
      </c>
      <c r="E149" s="2">
        <v>22000</v>
      </c>
      <c r="F149" s="2">
        <v>17</v>
      </c>
      <c r="G149" s="8">
        <f t="shared" si="2"/>
        <v>374000</v>
      </c>
    </row>
    <row r="150" spans="1:7" ht="15.75" x14ac:dyDescent="0.25">
      <c r="A150" s="4">
        <v>44423</v>
      </c>
      <c r="B150" s="1" t="s">
        <v>9</v>
      </c>
      <c r="C150" s="1" t="s">
        <v>21</v>
      </c>
      <c r="D150" s="1" t="s">
        <v>10</v>
      </c>
      <c r="E150" s="1">
        <v>45000</v>
      </c>
      <c r="F150" s="1">
        <v>50</v>
      </c>
      <c r="G150" s="7">
        <f t="shared" si="2"/>
        <v>2250000</v>
      </c>
    </row>
    <row r="151" spans="1:7" ht="15.75" x14ac:dyDescent="0.25">
      <c r="A151" s="5">
        <v>44427</v>
      </c>
      <c r="B151" s="2" t="s">
        <v>18</v>
      </c>
      <c r="C151" s="2" t="s">
        <v>15</v>
      </c>
      <c r="D151" s="2" t="s">
        <v>13</v>
      </c>
      <c r="E151" s="2">
        <v>499</v>
      </c>
      <c r="F151" s="2">
        <v>4</v>
      </c>
      <c r="G151" s="8">
        <f t="shared" si="2"/>
        <v>1996</v>
      </c>
    </row>
    <row r="152" spans="1:7" ht="15.75" x14ac:dyDescent="0.25">
      <c r="A152" s="4">
        <v>44431</v>
      </c>
      <c r="B152" s="1" t="s">
        <v>22</v>
      </c>
      <c r="C152" s="1" t="s">
        <v>21</v>
      </c>
      <c r="D152" s="1" t="s">
        <v>17</v>
      </c>
      <c r="E152" s="1">
        <v>590</v>
      </c>
      <c r="F152" s="1">
        <v>43</v>
      </c>
      <c r="G152" s="7">
        <f t="shared" si="2"/>
        <v>25370</v>
      </c>
    </row>
    <row r="153" spans="1:7" ht="15.75" x14ac:dyDescent="0.25">
      <c r="A153" s="5">
        <v>44435</v>
      </c>
      <c r="B153" s="2" t="s">
        <v>11</v>
      </c>
      <c r="C153" s="2" t="s">
        <v>21</v>
      </c>
      <c r="D153" s="2" t="s">
        <v>10</v>
      </c>
      <c r="E153" s="2">
        <v>590</v>
      </c>
      <c r="F153" s="2">
        <v>42</v>
      </c>
      <c r="G153" s="8">
        <f t="shared" si="2"/>
        <v>24780</v>
      </c>
    </row>
    <row r="154" spans="1:7" ht="15.75" x14ac:dyDescent="0.25">
      <c r="A154" s="4">
        <v>44439</v>
      </c>
      <c r="B154" s="1" t="s">
        <v>14</v>
      </c>
      <c r="C154" s="1" t="s">
        <v>16</v>
      </c>
      <c r="D154" s="1" t="s">
        <v>8</v>
      </c>
      <c r="E154" s="1">
        <v>12000</v>
      </c>
      <c r="F154" s="1">
        <v>9</v>
      </c>
      <c r="G154" s="7">
        <f t="shared" si="2"/>
        <v>108000</v>
      </c>
    </row>
    <row r="155" spans="1:7" ht="15.75" x14ac:dyDescent="0.25">
      <c r="A155" s="5">
        <v>44443</v>
      </c>
      <c r="B155" s="2" t="s">
        <v>18</v>
      </c>
      <c r="C155" s="2" t="s">
        <v>19</v>
      </c>
      <c r="D155" s="2" t="s">
        <v>23</v>
      </c>
      <c r="E155" s="2">
        <v>52000</v>
      </c>
      <c r="F155" s="2">
        <v>40</v>
      </c>
      <c r="G155" s="8">
        <f t="shared" si="2"/>
        <v>2080000</v>
      </c>
    </row>
    <row r="156" spans="1:7" ht="15.75" x14ac:dyDescent="0.25">
      <c r="A156" s="4">
        <v>44447</v>
      </c>
      <c r="B156" s="1" t="s">
        <v>18</v>
      </c>
      <c r="C156" s="1" t="s">
        <v>12</v>
      </c>
      <c r="D156" s="1" t="s">
        <v>17</v>
      </c>
      <c r="E156" s="1">
        <v>7999</v>
      </c>
      <c r="F156" s="1">
        <v>14</v>
      </c>
      <c r="G156" s="7">
        <f t="shared" si="2"/>
        <v>111986</v>
      </c>
    </row>
    <row r="157" spans="1:7" ht="15.75" x14ac:dyDescent="0.25">
      <c r="A157" s="5">
        <v>44451</v>
      </c>
      <c r="B157" s="2" t="s">
        <v>9</v>
      </c>
      <c r="C157" s="2" t="s">
        <v>12</v>
      </c>
      <c r="D157" s="2" t="s">
        <v>20</v>
      </c>
      <c r="E157" s="2">
        <v>5000</v>
      </c>
      <c r="F157" s="2">
        <v>9</v>
      </c>
      <c r="G157" s="8">
        <f t="shared" si="2"/>
        <v>45000</v>
      </c>
    </row>
    <row r="158" spans="1:7" ht="15.75" x14ac:dyDescent="0.25">
      <c r="A158" s="4">
        <v>44455</v>
      </c>
      <c r="B158" s="1" t="s">
        <v>18</v>
      </c>
      <c r="C158" s="1" t="s">
        <v>19</v>
      </c>
      <c r="D158" s="1" t="s">
        <v>17</v>
      </c>
      <c r="E158" s="1">
        <v>79999</v>
      </c>
      <c r="F158" s="1">
        <v>10</v>
      </c>
      <c r="G158" s="7">
        <f t="shared" si="2"/>
        <v>799990</v>
      </c>
    </row>
    <row r="159" spans="1:7" ht="15.75" x14ac:dyDescent="0.25">
      <c r="A159" s="5">
        <v>44459</v>
      </c>
      <c r="B159" s="2" t="s">
        <v>22</v>
      </c>
      <c r="C159" s="2" t="s">
        <v>15</v>
      </c>
      <c r="D159" s="2" t="s">
        <v>13</v>
      </c>
      <c r="E159" s="2">
        <v>1999</v>
      </c>
      <c r="F159" s="2">
        <v>37</v>
      </c>
      <c r="G159" s="8">
        <f t="shared" si="2"/>
        <v>73963</v>
      </c>
    </row>
    <row r="160" spans="1:7" ht="15.75" x14ac:dyDescent="0.25">
      <c r="A160" s="4">
        <v>44463</v>
      </c>
      <c r="B160" s="1" t="s">
        <v>18</v>
      </c>
      <c r="C160" s="1" t="s">
        <v>19</v>
      </c>
      <c r="D160" s="1" t="s">
        <v>17</v>
      </c>
      <c r="E160" s="1">
        <v>89999</v>
      </c>
      <c r="F160" s="1">
        <v>29</v>
      </c>
      <c r="G160" s="7">
        <f t="shared" si="2"/>
        <v>2609971</v>
      </c>
    </row>
    <row r="161" spans="1:7" ht="15.75" x14ac:dyDescent="0.25">
      <c r="A161" s="5">
        <v>44467</v>
      </c>
      <c r="B161" s="2" t="s">
        <v>11</v>
      </c>
      <c r="C161" s="2" t="s">
        <v>19</v>
      </c>
      <c r="D161" s="2" t="s">
        <v>8</v>
      </c>
      <c r="E161" s="2">
        <v>799</v>
      </c>
      <c r="F161" s="2">
        <v>44</v>
      </c>
      <c r="G161" s="8">
        <f t="shared" si="2"/>
        <v>35156</v>
      </c>
    </row>
    <row r="162" spans="1:7" ht="15.75" x14ac:dyDescent="0.25">
      <c r="A162" s="4">
        <v>44471</v>
      </c>
      <c r="B162" s="1" t="s">
        <v>18</v>
      </c>
      <c r="C162" s="1" t="s">
        <v>19</v>
      </c>
      <c r="D162" s="1" t="s">
        <v>10</v>
      </c>
      <c r="E162" s="1">
        <v>3990</v>
      </c>
      <c r="F162" s="1">
        <v>31</v>
      </c>
      <c r="G162" s="7">
        <f t="shared" si="2"/>
        <v>123690</v>
      </c>
    </row>
    <row r="163" spans="1:7" ht="15.75" x14ac:dyDescent="0.25">
      <c r="A163" s="5">
        <v>44475</v>
      </c>
      <c r="B163" s="2" t="s">
        <v>9</v>
      </c>
      <c r="C163" s="2" t="s">
        <v>19</v>
      </c>
      <c r="D163" s="2" t="s">
        <v>13</v>
      </c>
      <c r="E163" s="2">
        <v>52000</v>
      </c>
      <c r="F163" s="2">
        <v>29</v>
      </c>
      <c r="G163" s="8">
        <f t="shared" si="2"/>
        <v>1508000</v>
      </c>
    </row>
    <row r="164" spans="1:7" ht="15.75" x14ac:dyDescent="0.25">
      <c r="A164" s="4">
        <v>44479</v>
      </c>
      <c r="B164" s="1" t="s">
        <v>9</v>
      </c>
      <c r="C164" s="1" t="s">
        <v>7</v>
      </c>
      <c r="D164" s="1" t="s">
        <v>17</v>
      </c>
      <c r="E164" s="1">
        <v>13999</v>
      </c>
      <c r="F164" s="1">
        <v>34</v>
      </c>
      <c r="G164" s="7">
        <f t="shared" si="2"/>
        <v>475966</v>
      </c>
    </row>
    <row r="165" spans="1:7" ht="15.75" x14ac:dyDescent="0.25">
      <c r="A165" s="5">
        <v>44483</v>
      </c>
      <c r="B165" s="2" t="s">
        <v>14</v>
      </c>
      <c r="C165" s="2" t="s">
        <v>16</v>
      </c>
      <c r="D165" s="2" t="s">
        <v>13</v>
      </c>
      <c r="E165" s="2">
        <v>14500</v>
      </c>
      <c r="F165" s="2">
        <v>29</v>
      </c>
      <c r="G165" s="8">
        <f t="shared" si="2"/>
        <v>420500</v>
      </c>
    </row>
    <row r="166" spans="1:7" ht="15.75" x14ac:dyDescent="0.25">
      <c r="A166" s="4">
        <v>44487</v>
      </c>
      <c r="B166" s="1" t="s">
        <v>18</v>
      </c>
      <c r="C166" s="1" t="s">
        <v>12</v>
      </c>
      <c r="D166" s="1" t="s">
        <v>23</v>
      </c>
      <c r="E166" s="1">
        <v>23999</v>
      </c>
      <c r="F166" s="1">
        <v>25</v>
      </c>
      <c r="G166" s="7">
        <f t="shared" si="2"/>
        <v>599975</v>
      </c>
    </row>
    <row r="167" spans="1:7" ht="15.75" x14ac:dyDescent="0.25">
      <c r="A167" s="5">
        <v>44491</v>
      </c>
      <c r="B167" s="2" t="s">
        <v>18</v>
      </c>
      <c r="C167" s="2" t="s">
        <v>12</v>
      </c>
      <c r="D167" s="2" t="s">
        <v>17</v>
      </c>
      <c r="E167" s="2">
        <v>1250</v>
      </c>
      <c r="F167" s="2">
        <v>31</v>
      </c>
      <c r="G167" s="8">
        <f t="shared" si="2"/>
        <v>38750</v>
      </c>
    </row>
    <row r="168" spans="1:7" ht="15.75" x14ac:dyDescent="0.25">
      <c r="A168" s="4">
        <v>44495</v>
      </c>
      <c r="B168" s="1" t="s">
        <v>22</v>
      </c>
      <c r="C168" s="1" t="s">
        <v>15</v>
      </c>
      <c r="D168" s="1" t="s">
        <v>17</v>
      </c>
      <c r="E168" s="1">
        <v>35600</v>
      </c>
      <c r="F168" s="1">
        <v>16</v>
      </c>
      <c r="G168" s="7">
        <f t="shared" si="2"/>
        <v>569600</v>
      </c>
    </row>
    <row r="169" spans="1:7" ht="15.75" x14ac:dyDescent="0.25">
      <c r="A169" s="5">
        <v>44499</v>
      </c>
      <c r="B169" s="2" t="s">
        <v>14</v>
      </c>
      <c r="C169" s="2" t="s">
        <v>16</v>
      </c>
      <c r="D169" s="2" t="s">
        <v>17</v>
      </c>
      <c r="E169" s="2">
        <v>65000</v>
      </c>
      <c r="F169" s="2">
        <v>48</v>
      </c>
      <c r="G169" s="8">
        <f t="shared" si="2"/>
        <v>3120000</v>
      </c>
    </row>
    <row r="170" spans="1:7" ht="15.75" x14ac:dyDescent="0.25">
      <c r="A170" s="4">
        <v>44503</v>
      </c>
      <c r="B170" s="1" t="s">
        <v>11</v>
      </c>
      <c r="C170" s="1" t="s">
        <v>16</v>
      </c>
      <c r="D170" s="1" t="s">
        <v>23</v>
      </c>
      <c r="E170" s="1">
        <v>12000</v>
      </c>
      <c r="F170" s="1">
        <v>22</v>
      </c>
      <c r="G170" s="7">
        <f t="shared" si="2"/>
        <v>264000</v>
      </c>
    </row>
    <row r="171" spans="1:7" ht="15.75" x14ac:dyDescent="0.25">
      <c r="A171" s="5">
        <v>44507</v>
      </c>
      <c r="B171" s="2" t="s">
        <v>22</v>
      </c>
      <c r="C171" s="2" t="s">
        <v>21</v>
      </c>
      <c r="D171" s="2" t="s">
        <v>17</v>
      </c>
      <c r="E171" s="2">
        <v>699</v>
      </c>
      <c r="F171" s="2">
        <v>6</v>
      </c>
      <c r="G171" s="8">
        <f t="shared" si="2"/>
        <v>4194</v>
      </c>
    </row>
    <row r="172" spans="1:7" ht="15.75" x14ac:dyDescent="0.25">
      <c r="A172" s="4">
        <v>44511</v>
      </c>
      <c r="B172" s="1" t="s">
        <v>22</v>
      </c>
      <c r="C172" s="1" t="s">
        <v>15</v>
      </c>
      <c r="D172" s="1" t="s">
        <v>13</v>
      </c>
      <c r="E172" s="1">
        <v>990</v>
      </c>
      <c r="F172" s="1">
        <v>12</v>
      </c>
      <c r="G172" s="7">
        <f t="shared" si="2"/>
        <v>11880</v>
      </c>
    </row>
    <row r="173" spans="1:7" ht="15.75" x14ac:dyDescent="0.25">
      <c r="A173" s="5">
        <v>44515</v>
      </c>
      <c r="B173" s="2" t="s">
        <v>22</v>
      </c>
      <c r="C173" s="2" t="s">
        <v>21</v>
      </c>
      <c r="D173" s="2" t="s">
        <v>8</v>
      </c>
      <c r="E173" s="2">
        <v>450</v>
      </c>
      <c r="F173" s="2">
        <v>44</v>
      </c>
      <c r="G173" s="8">
        <f t="shared" si="2"/>
        <v>19800</v>
      </c>
    </row>
    <row r="174" spans="1:7" ht="15.75" x14ac:dyDescent="0.25">
      <c r="A174" s="4">
        <v>44519</v>
      </c>
      <c r="B174" s="1" t="s">
        <v>22</v>
      </c>
      <c r="C174" s="1" t="s">
        <v>15</v>
      </c>
      <c r="D174" s="1" t="s">
        <v>8</v>
      </c>
      <c r="E174" s="1">
        <v>1499</v>
      </c>
      <c r="F174" s="1">
        <v>15</v>
      </c>
      <c r="G174" s="7">
        <f t="shared" si="2"/>
        <v>22485</v>
      </c>
    </row>
    <row r="175" spans="1:7" ht="15.75" x14ac:dyDescent="0.25">
      <c r="A175" s="5">
        <v>44523</v>
      </c>
      <c r="B175" s="2" t="s">
        <v>6</v>
      </c>
      <c r="C175" s="2" t="s">
        <v>7</v>
      </c>
      <c r="D175" s="2" t="s">
        <v>20</v>
      </c>
      <c r="E175" s="2">
        <v>499</v>
      </c>
      <c r="F175" s="2">
        <v>26</v>
      </c>
      <c r="G175" s="8">
        <f t="shared" si="2"/>
        <v>12974</v>
      </c>
    </row>
    <row r="176" spans="1:7" ht="15.75" x14ac:dyDescent="0.25">
      <c r="A176" s="4">
        <v>44527</v>
      </c>
      <c r="B176" s="1" t="s">
        <v>18</v>
      </c>
      <c r="C176" s="1" t="s">
        <v>12</v>
      </c>
      <c r="D176" s="1" t="s">
        <v>20</v>
      </c>
      <c r="E176" s="1">
        <v>960</v>
      </c>
      <c r="F176" s="1">
        <v>16</v>
      </c>
      <c r="G176" s="7">
        <f t="shared" si="2"/>
        <v>15360</v>
      </c>
    </row>
    <row r="177" spans="1:7" ht="15.75" x14ac:dyDescent="0.25">
      <c r="A177" s="5">
        <v>44531</v>
      </c>
      <c r="B177" s="2" t="s">
        <v>11</v>
      </c>
      <c r="C177" s="2" t="s">
        <v>15</v>
      </c>
      <c r="D177" s="2" t="s">
        <v>17</v>
      </c>
      <c r="E177" s="2">
        <v>5599</v>
      </c>
      <c r="F177" s="2">
        <v>35</v>
      </c>
      <c r="G177" s="8">
        <f t="shared" si="2"/>
        <v>195965</v>
      </c>
    </row>
    <row r="178" spans="1:7" ht="15.75" x14ac:dyDescent="0.25">
      <c r="A178" s="4">
        <v>44535</v>
      </c>
      <c r="B178" s="1" t="s">
        <v>14</v>
      </c>
      <c r="C178" s="1" t="s">
        <v>16</v>
      </c>
      <c r="D178" s="1" t="s">
        <v>8</v>
      </c>
      <c r="E178" s="1">
        <v>89</v>
      </c>
      <c r="F178" s="1">
        <v>36</v>
      </c>
      <c r="G178" s="7">
        <f t="shared" si="2"/>
        <v>3204</v>
      </c>
    </row>
    <row r="179" spans="1:7" ht="15.75" x14ac:dyDescent="0.25">
      <c r="A179" s="5">
        <v>44539</v>
      </c>
      <c r="B179" s="2" t="s">
        <v>6</v>
      </c>
      <c r="C179" s="2" t="s">
        <v>7</v>
      </c>
      <c r="D179" s="2" t="s">
        <v>13</v>
      </c>
      <c r="E179" s="2">
        <v>2550</v>
      </c>
      <c r="F179" s="2">
        <v>20</v>
      </c>
      <c r="G179" s="8">
        <f t="shared" si="2"/>
        <v>51000</v>
      </c>
    </row>
    <row r="180" spans="1:7" ht="15.75" x14ac:dyDescent="0.25">
      <c r="A180" s="4">
        <v>44543</v>
      </c>
      <c r="B180" s="1" t="s">
        <v>6</v>
      </c>
      <c r="C180" s="1" t="s">
        <v>7</v>
      </c>
      <c r="D180" s="1" t="s">
        <v>8</v>
      </c>
      <c r="E180" s="1">
        <v>1450</v>
      </c>
      <c r="F180" s="1">
        <v>47</v>
      </c>
      <c r="G180" s="7">
        <f t="shared" si="2"/>
        <v>68150</v>
      </c>
    </row>
    <row r="181" spans="1:7" ht="15.75" x14ac:dyDescent="0.25">
      <c r="A181" s="5">
        <v>44547</v>
      </c>
      <c r="B181" s="2" t="s">
        <v>22</v>
      </c>
      <c r="C181" s="2" t="s">
        <v>21</v>
      </c>
      <c r="D181" s="2" t="s">
        <v>17</v>
      </c>
      <c r="E181" s="2">
        <v>2900</v>
      </c>
      <c r="F181" s="2">
        <v>6</v>
      </c>
      <c r="G181" s="8">
        <f t="shared" si="2"/>
        <v>17400</v>
      </c>
    </row>
    <row r="182" spans="1:7" ht="15.75" x14ac:dyDescent="0.25">
      <c r="A182" s="4">
        <v>44551</v>
      </c>
      <c r="B182" s="1" t="s">
        <v>14</v>
      </c>
      <c r="C182" s="1" t="s">
        <v>16</v>
      </c>
      <c r="D182" s="1" t="s">
        <v>20</v>
      </c>
      <c r="E182" s="1">
        <v>120</v>
      </c>
      <c r="F182" s="1">
        <v>6</v>
      </c>
      <c r="G182" s="7">
        <f t="shared" si="2"/>
        <v>720</v>
      </c>
    </row>
    <row r="183" spans="1:7" ht="15.75" x14ac:dyDescent="0.25">
      <c r="A183" s="5">
        <v>44555</v>
      </c>
      <c r="B183" s="2" t="s">
        <v>18</v>
      </c>
      <c r="C183" s="2" t="s">
        <v>19</v>
      </c>
      <c r="D183" s="2" t="s">
        <v>20</v>
      </c>
      <c r="E183" s="2">
        <v>52000</v>
      </c>
      <c r="F183" s="2">
        <v>41</v>
      </c>
      <c r="G183" s="8">
        <f t="shared" si="2"/>
        <v>2132000</v>
      </c>
    </row>
    <row r="184" spans="1:7" ht="15.75" x14ac:dyDescent="0.25">
      <c r="A184" s="4">
        <v>44559</v>
      </c>
      <c r="B184" s="1" t="s">
        <v>22</v>
      </c>
      <c r="C184" s="1" t="s">
        <v>21</v>
      </c>
      <c r="D184" s="1" t="s">
        <v>13</v>
      </c>
      <c r="E184" s="1">
        <v>590</v>
      </c>
      <c r="F184" s="1">
        <v>29</v>
      </c>
      <c r="G184" s="7">
        <f t="shared" si="2"/>
        <v>17110</v>
      </c>
    </row>
    <row r="185" spans="1:7" ht="15.75" x14ac:dyDescent="0.25">
      <c r="A185" s="5">
        <v>44563</v>
      </c>
      <c r="B185" s="2" t="s">
        <v>18</v>
      </c>
      <c r="C185" s="2" t="s">
        <v>15</v>
      </c>
      <c r="D185" s="2" t="s">
        <v>23</v>
      </c>
      <c r="E185" s="2">
        <v>7999</v>
      </c>
      <c r="F185" s="2">
        <v>31</v>
      </c>
      <c r="G185" s="8">
        <f t="shared" si="2"/>
        <v>247969</v>
      </c>
    </row>
    <row r="186" spans="1:7" ht="15.75" x14ac:dyDescent="0.25">
      <c r="A186" s="4">
        <v>44567</v>
      </c>
      <c r="B186" s="1" t="s">
        <v>9</v>
      </c>
      <c r="C186" s="1" t="s">
        <v>16</v>
      </c>
      <c r="D186" s="1" t="s">
        <v>13</v>
      </c>
      <c r="E186" s="1">
        <v>999</v>
      </c>
      <c r="F186" s="1">
        <v>34</v>
      </c>
      <c r="G186" s="7">
        <f t="shared" si="2"/>
        <v>33966</v>
      </c>
    </row>
    <row r="187" spans="1:7" ht="15.75" x14ac:dyDescent="0.25">
      <c r="A187" s="5">
        <v>44571</v>
      </c>
      <c r="B187" s="2" t="s">
        <v>11</v>
      </c>
      <c r="C187" s="2" t="s">
        <v>21</v>
      </c>
      <c r="D187" s="2" t="s">
        <v>8</v>
      </c>
      <c r="E187" s="2">
        <v>990</v>
      </c>
      <c r="F187" s="2">
        <v>43</v>
      </c>
      <c r="G187" s="8">
        <f t="shared" si="2"/>
        <v>42570</v>
      </c>
    </row>
    <row r="188" spans="1:7" ht="15.75" x14ac:dyDescent="0.25">
      <c r="A188" s="4">
        <v>44575</v>
      </c>
      <c r="B188" s="1" t="s">
        <v>18</v>
      </c>
      <c r="C188" s="1" t="s">
        <v>19</v>
      </c>
      <c r="D188" s="1" t="s">
        <v>8</v>
      </c>
      <c r="E188" s="1">
        <v>11999</v>
      </c>
      <c r="F188" s="1">
        <v>37</v>
      </c>
      <c r="G188" s="7">
        <f t="shared" si="2"/>
        <v>443963</v>
      </c>
    </row>
    <row r="189" spans="1:7" ht="15.75" x14ac:dyDescent="0.25">
      <c r="A189" s="5">
        <v>44579</v>
      </c>
      <c r="B189" s="2" t="s">
        <v>18</v>
      </c>
      <c r="C189" s="2" t="s">
        <v>12</v>
      </c>
      <c r="D189" s="2" t="s">
        <v>8</v>
      </c>
      <c r="E189" s="2">
        <v>960</v>
      </c>
      <c r="F189" s="2">
        <v>7</v>
      </c>
      <c r="G189" s="8">
        <f t="shared" si="2"/>
        <v>6720</v>
      </c>
    </row>
    <row r="190" spans="1:7" ht="15.75" x14ac:dyDescent="0.25">
      <c r="A190" s="4">
        <v>44583</v>
      </c>
      <c r="B190" s="1" t="s">
        <v>6</v>
      </c>
      <c r="C190" s="1" t="s">
        <v>7</v>
      </c>
      <c r="D190" s="1" t="s">
        <v>13</v>
      </c>
      <c r="E190" s="1">
        <v>1450</v>
      </c>
      <c r="F190" s="1">
        <v>19</v>
      </c>
      <c r="G190" s="7">
        <f t="shared" si="2"/>
        <v>27550</v>
      </c>
    </row>
    <row r="191" spans="1:7" ht="15.75" x14ac:dyDescent="0.25">
      <c r="A191" s="5">
        <v>44587</v>
      </c>
      <c r="B191" s="2" t="s">
        <v>22</v>
      </c>
      <c r="C191" s="2" t="s">
        <v>21</v>
      </c>
      <c r="D191" s="2" t="s">
        <v>10</v>
      </c>
      <c r="E191" s="2">
        <v>450</v>
      </c>
      <c r="F191" s="2">
        <v>47</v>
      </c>
      <c r="G191" s="8">
        <f t="shared" si="2"/>
        <v>21150</v>
      </c>
    </row>
    <row r="192" spans="1:7" ht="15.75" x14ac:dyDescent="0.25">
      <c r="A192" s="4">
        <v>44591</v>
      </c>
      <c r="B192" s="1" t="s">
        <v>9</v>
      </c>
      <c r="C192" s="1" t="s">
        <v>21</v>
      </c>
      <c r="D192" s="1" t="s">
        <v>13</v>
      </c>
      <c r="E192" s="1">
        <v>1499</v>
      </c>
      <c r="F192" s="1">
        <v>37</v>
      </c>
      <c r="G192" s="7">
        <f t="shared" si="2"/>
        <v>55463</v>
      </c>
    </row>
    <row r="193" spans="1:7" ht="15.75" x14ac:dyDescent="0.25">
      <c r="A193" s="5">
        <v>44595</v>
      </c>
      <c r="B193" s="2" t="s">
        <v>11</v>
      </c>
      <c r="C193" s="2" t="s">
        <v>19</v>
      </c>
      <c r="D193" s="2" t="s">
        <v>10</v>
      </c>
      <c r="E193" s="2">
        <v>79999</v>
      </c>
      <c r="F193" s="2">
        <v>4</v>
      </c>
      <c r="G193" s="8">
        <f t="shared" si="2"/>
        <v>319996</v>
      </c>
    </row>
    <row r="194" spans="1:7" ht="15.75" x14ac:dyDescent="0.25">
      <c r="A194" s="4">
        <v>44599</v>
      </c>
      <c r="B194" s="1" t="s">
        <v>11</v>
      </c>
      <c r="C194" s="1" t="s">
        <v>16</v>
      </c>
      <c r="D194" s="1" t="s">
        <v>20</v>
      </c>
      <c r="E194" s="1">
        <v>999</v>
      </c>
      <c r="F194" s="1">
        <v>45</v>
      </c>
      <c r="G194" s="7">
        <f t="shared" si="2"/>
        <v>44955</v>
      </c>
    </row>
    <row r="195" spans="1:7" ht="15.75" x14ac:dyDescent="0.25">
      <c r="A195" s="5">
        <v>44603</v>
      </c>
      <c r="B195" s="2" t="s">
        <v>18</v>
      </c>
      <c r="C195" s="2" t="s">
        <v>19</v>
      </c>
      <c r="D195" s="2" t="s">
        <v>8</v>
      </c>
      <c r="E195" s="2">
        <v>52000</v>
      </c>
      <c r="F195" s="2">
        <v>15</v>
      </c>
      <c r="G195" s="8">
        <f t="shared" ref="G195:G258" si="3">E195*F195</f>
        <v>780000</v>
      </c>
    </row>
    <row r="196" spans="1:7" ht="15.75" x14ac:dyDescent="0.25">
      <c r="A196" s="4">
        <v>44607</v>
      </c>
      <c r="B196" s="1" t="s">
        <v>18</v>
      </c>
      <c r="C196" s="1" t="s">
        <v>19</v>
      </c>
      <c r="D196" s="1" t="s">
        <v>17</v>
      </c>
      <c r="E196" s="1">
        <v>52000</v>
      </c>
      <c r="F196" s="1">
        <v>39</v>
      </c>
      <c r="G196" s="7">
        <f t="shared" si="3"/>
        <v>2028000</v>
      </c>
    </row>
    <row r="197" spans="1:7" ht="15.75" x14ac:dyDescent="0.25">
      <c r="A197" s="5">
        <v>44611</v>
      </c>
      <c r="B197" s="2" t="s">
        <v>18</v>
      </c>
      <c r="C197" s="2" t="s">
        <v>12</v>
      </c>
      <c r="D197" s="2" t="s">
        <v>13</v>
      </c>
      <c r="E197" s="2">
        <v>960</v>
      </c>
      <c r="F197" s="2">
        <v>33</v>
      </c>
      <c r="G197" s="8">
        <f t="shared" si="3"/>
        <v>31680</v>
      </c>
    </row>
    <row r="198" spans="1:7" ht="15.75" x14ac:dyDescent="0.25">
      <c r="A198" s="4">
        <v>44615</v>
      </c>
      <c r="B198" s="1" t="s">
        <v>18</v>
      </c>
      <c r="C198" s="1" t="s">
        <v>12</v>
      </c>
      <c r="D198" s="1" t="s">
        <v>13</v>
      </c>
      <c r="E198" s="1">
        <v>1450</v>
      </c>
      <c r="F198" s="1">
        <v>34</v>
      </c>
      <c r="G198" s="7">
        <f t="shared" si="3"/>
        <v>49300</v>
      </c>
    </row>
    <row r="199" spans="1:7" ht="15.75" x14ac:dyDescent="0.25">
      <c r="A199" s="5">
        <v>44619</v>
      </c>
      <c r="B199" s="2" t="s">
        <v>18</v>
      </c>
      <c r="C199" s="2" t="s">
        <v>15</v>
      </c>
      <c r="D199" s="2" t="s">
        <v>17</v>
      </c>
      <c r="E199" s="2">
        <v>2999</v>
      </c>
      <c r="F199" s="2">
        <v>33</v>
      </c>
      <c r="G199" s="8">
        <f t="shared" si="3"/>
        <v>98967</v>
      </c>
    </row>
    <row r="200" spans="1:7" ht="15.75" x14ac:dyDescent="0.25">
      <c r="A200" s="4">
        <v>44623</v>
      </c>
      <c r="B200" s="1" t="s">
        <v>11</v>
      </c>
      <c r="C200" s="1" t="s">
        <v>12</v>
      </c>
      <c r="D200" s="1" t="s">
        <v>20</v>
      </c>
      <c r="E200" s="1">
        <v>1250</v>
      </c>
      <c r="F200" s="1">
        <v>14</v>
      </c>
      <c r="G200" s="7">
        <f t="shared" si="3"/>
        <v>17500</v>
      </c>
    </row>
    <row r="201" spans="1:7" ht="15.75" x14ac:dyDescent="0.25">
      <c r="A201" s="5">
        <v>44627</v>
      </c>
      <c r="B201" s="2" t="s">
        <v>14</v>
      </c>
      <c r="C201" s="2" t="s">
        <v>16</v>
      </c>
      <c r="D201" s="2" t="s">
        <v>8</v>
      </c>
      <c r="E201" s="2">
        <v>120</v>
      </c>
      <c r="F201" s="2">
        <v>41</v>
      </c>
      <c r="G201" s="8">
        <f t="shared" si="3"/>
        <v>4920</v>
      </c>
    </row>
    <row r="202" spans="1:7" ht="15.75" x14ac:dyDescent="0.25">
      <c r="A202" s="4">
        <v>44631</v>
      </c>
      <c r="B202" s="1" t="s">
        <v>9</v>
      </c>
      <c r="C202" s="1" t="s">
        <v>7</v>
      </c>
      <c r="D202" s="1" t="s">
        <v>17</v>
      </c>
      <c r="E202" s="1">
        <v>1450</v>
      </c>
      <c r="F202" s="1">
        <v>22</v>
      </c>
      <c r="G202" s="7">
        <f t="shared" si="3"/>
        <v>31900</v>
      </c>
    </row>
    <row r="203" spans="1:7" ht="15.75" x14ac:dyDescent="0.25">
      <c r="A203" s="5">
        <v>44635</v>
      </c>
      <c r="B203" s="2" t="s">
        <v>9</v>
      </c>
      <c r="C203" s="2" t="s">
        <v>19</v>
      </c>
      <c r="D203" s="2" t="s">
        <v>8</v>
      </c>
      <c r="E203" s="2">
        <v>89999</v>
      </c>
      <c r="F203" s="2">
        <v>15</v>
      </c>
      <c r="G203" s="8">
        <f t="shared" si="3"/>
        <v>1349985</v>
      </c>
    </row>
    <row r="204" spans="1:7" ht="15.75" x14ac:dyDescent="0.25">
      <c r="A204" s="4">
        <v>44639</v>
      </c>
      <c r="B204" s="1" t="s">
        <v>22</v>
      </c>
      <c r="C204" s="1" t="s">
        <v>21</v>
      </c>
      <c r="D204" s="1" t="s">
        <v>13</v>
      </c>
      <c r="E204" s="1">
        <v>1999</v>
      </c>
      <c r="F204" s="1">
        <v>48</v>
      </c>
      <c r="G204" s="7">
        <f t="shared" si="3"/>
        <v>95952</v>
      </c>
    </row>
    <row r="205" spans="1:7" ht="15.75" x14ac:dyDescent="0.25">
      <c r="A205" s="5">
        <v>44643</v>
      </c>
      <c r="B205" s="2" t="s">
        <v>22</v>
      </c>
      <c r="C205" s="2" t="s">
        <v>15</v>
      </c>
      <c r="D205" s="2" t="s">
        <v>17</v>
      </c>
      <c r="E205" s="2">
        <v>2900</v>
      </c>
      <c r="F205" s="2">
        <v>49</v>
      </c>
      <c r="G205" s="8">
        <f t="shared" si="3"/>
        <v>142100</v>
      </c>
    </row>
    <row r="206" spans="1:7" ht="15.75" x14ac:dyDescent="0.25">
      <c r="A206" s="4">
        <v>44647</v>
      </c>
      <c r="B206" s="1" t="s">
        <v>18</v>
      </c>
      <c r="C206" s="1" t="s">
        <v>19</v>
      </c>
      <c r="D206" s="1" t="s">
        <v>20</v>
      </c>
      <c r="E206" s="1">
        <v>700</v>
      </c>
      <c r="F206" s="1">
        <v>50</v>
      </c>
      <c r="G206" s="7">
        <f t="shared" si="3"/>
        <v>35000</v>
      </c>
    </row>
    <row r="207" spans="1:7" ht="15.75" x14ac:dyDescent="0.25">
      <c r="A207" s="5">
        <v>44651</v>
      </c>
      <c r="B207" s="2" t="s">
        <v>14</v>
      </c>
      <c r="C207" s="2" t="s">
        <v>16</v>
      </c>
      <c r="D207" s="2" t="s">
        <v>17</v>
      </c>
      <c r="E207" s="2">
        <v>200</v>
      </c>
      <c r="F207" s="2">
        <v>41</v>
      </c>
      <c r="G207" s="8">
        <f t="shared" si="3"/>
        <v>8200</v>
      </c>
    </row>
    <row r="208" spans="1:7" ht="15.75" x14ac:dyDescent="0.25">
      <c r="A208" s="4">
        <v>44655</v>
      </c>
      <c r="B208" s="1" t="s">
        <v>6</v>
      </c>
      <c r="C208" s="1" t="s">
        <v>7</v>
      </c>
      <c r="D208" s="1" t="s">
        <v>13</v>
      </c>
      <c r="E208" s="1">
        <v>499</v>
      </c>
      <c r="F208" s="1">
        <v>29</v>
      </c>
      <c r="G208" s="7">
        <f t="shared" si="3"/>
        <v>14471</v>
      </c>
    </row>
    <row r="209" spans="1:7" ht="15.75" x14ac:dyDescent="0.25">
      <c r="A209" s="5">
        <v>44659</v>
      </c>
      <c r="B209" s="2" t="s">
        <v>11</v>
      </c>
      <c r="C209" s="2" t="s">
        <v>7</v>
      </c>
      <c r="D209" s="2" t="s">
        <v>23</v>
      </c>
      <c r="E209" s="2">
        <v>5599</v>
      </c>
      <c r="F209" s="2">
        <v>36</v>
      </c>
      <c r="G209" s="8">
        <f t="shared" si="3"/>
        <v>201564</v>
      </c>
    </row>
    <row r="210" spans="1:7" ht="15.75" x14ac:dyDescent="0.25">
      <c r="A210" s="4">
        <v>44663</v>
      </c>
      <c r="B210" s="1" t="s">
        <v>9</v>
      </c>
      <c r="C210" s="1" t="s">
        <v>16</v>
      </c>
      <c r="D210" s="1" t="s">
        <v>17</v>
      </c>
      <c r="E210" s="1">
        <v>100</v>
      </c>
      <c r="F210" s="1">
        <v>39</v>
      </c>
      <c r="G210" s="7">
        <f t="shared" si="3"/>
        <v>3900</v>
      </c>
    </row>
    <row r="211" spans="1:7" ht="15.75" x14ac:dyDescent="0.25">
      <c r="A211" s="5">
        <v>44667</v>
      </c>
      <c r="B211" s="2" t="s">
        <v>18</v>
      </c>
      <c r="C211" s="2" t="s">
        <v>15</v>
      </c>
      <c r="D211" s="2" t="s">
        <v>17</v>
      </c>
      <c r="E211" s="2">
        <v>79999</v>
      </c>
      <c r="F211" s="2">
        <v>9</v>
      </c>
      <c r="G211" s="8">
        <f t="shared" si="3"/>
        <v>719991</v>
      </c>
    </row>
    <row r="212" spans="1:7" ht="15.75" x14ac:dyDescent="0.25">
      <c r="A212" s="4">
        <v>44671</v>
      </c>
      <c r="B212" s="1" t="s">
        <v>11</v>
      </c>
      <c r="C212" s="1" t="s">
        <v>19</v>
      </c>
      <c r="D212" s="1" t="s">
        <v>13</v>
      </c>
      <c r="E212" s="1">
        <v>700</v>
      </c>
      <c r="F212" s="1">
        <v>38</v>
      </c>
      <c r="G212" s="7">
        <f t="shared" si="3"/>
        <v>26600</v>
      </c>
    </row>
    <row r="213" spans="1:7" ht="15.75" x14ac:dyDescent="0.25">
      <c r="A213" s="5">
        <v>44675</v>
      </c>
      <c r="B213" s="2" t="s">
        <v>18</v>
      </c>
      <c r="C213" s="2" t="s">
        <v>12</v>
      </c>
      <c r="D213" s="2" t="s">
        <v>8</v>
      </c>
      <c r="E213" s="2">
        <v>550</v>
      </c>
      <c r="F213" s="2">
        <v>25</v>
      </c>
      <c r="G213" s="8">
        <f t="shared" si="3"/>
        <v>13750</v>
      </c>
    </row>
    <row r="214" spans="1:7" ht="15.75" x14ac:dyDescent="0.25">
      <c r="A214" s="4">
        <v>44679</v>
      </c>
      <c r="B214" s="1" t="s">
        <v>22</v>
      </c>
      <c r="C214" s="1" t="s">
        <v>21</v>
      </c>
      <c r="D214" s="1" t="s">
        <v>17</v>
      </c>
      <c r="E214" s="1">
        <v>1499</v>
      </c>
      <c r="F214" s="1">
        <v>16</v>
      </c>
      <c r="G214" s="7">
        <f t="shared" si="3"/>
        <v>23984</v>
      </c>
    </row>
    <row r="215" spans="1:7" ht="15.75" x14ac:dyDescent="0.25">
      <c r="A215" s="5">
        <v>44683</v>
      </c>
      <c r="B215" s="2" t="s">
        <v>14</v>
      </c>
      <c r="C215" s="2" t="s">
        <v>16</v>
      </c>
      <c r="D215" s="2" t="s">
        <v>20</v>
      </c>
      <c r="E215" s="2">
        <v>120</v>
      </c>
      <c r="F215" s="2">
        <v>22</v>
      </c>
      <c r="G215" s="8">
        <f t="shared" si="3"/>
        <v>2640</v>
      </c>
    </row>
    <row r="216" spans="1:7" ht="15.75" x14ac:dyDescent="0.25">
      <c r="A216" s="4">
        <v>44687</v>
      </c>
      <c r="B216" s="1" t="s">
        <v>6</v>
      </c>
      <c r="C216" s="1" t="s">
        <v>7</v>
      </c>
      <c r="D216" s="1" t="s">
        <v>10</v>
      </c>
      <c r="E216" s="1">
        <v>1450</v>
      </c>
      <c r="F216" s="1">
        <v>20</v>
      </c>
      <c r="G216" s="7">
        <f t="shared" si="3"/>
        <v>29000</v>
      </c>
    </row>
    <row r="217" spans="1:7" ht="15.75" x14ac:dyDescent="0.25">
      <c r="A217" s="5">
        <v>44691</v>
      </c>
      <c r="B217" s="2" t="s">
        <v>22</v>
      </c>
      <c r="C217" s="2" t="s">
        <v>15</v>
      </c>
      <c r="D217" s="2" t="s">
        <v>13</v>
      </c>
      <c r="E217" s="2">
        <v>1999</v>
      </c>
      <c r="F217" s="2">
        <v>23</v>
      </c>
      <c r="G217" s="8">
        <f t="shared" si="3"/>
        <v>45977</v>
      </c>
    </row>
    <row r="218" spans="1:7" ht="15.75" x14ac:dyDescent="0.25">
      <c r="A218" s="4">
        <v>44695</v>
      </c>
      <c r="B218" s="1" t="s">
        <v>6</v>
      </c>
      <c r="C218" s="1" t="s">
        <v>7</v>
      </c>
      <c r="D218" s="1" t="s">
        <v>17</v>
      </c>
      <c r="E218" s="1">
        <v>800</v>
      </c>
      <c r="F218" s="1">
        <v>43</v>
      </c>
      <c r="G218" s="7">
        <f t="shared" si="3"/>
        <v>34400</v>
      </c>
    </row>
    <row r="219" spans="1:7" ht="15.75" x14ac:dyDescent="0.25">
      <c r="A219" s="5">
        <v>44699</v>
      </c>
      <c r="B219" s="2" t="s">
        <v>11</v>
      </c>
      <c r="C219" s="2" t="s">
        <v>16</v>
      </c>
      <c r="D219" s="2" t="s">
        <v>20</v>
      </c>
      <c r="E219" s="2">
        <v>100</v>
      </c>
      <c r="F219" s="2">
        <v>41</v>
      </c>
      <c r="G219" s="8">
        <f t="shared" si="3"/>
        <v>4100</v>
      </c>
    </row>
    <row r="220" spans="1:7" ht="15.75" x14ac:dyDescent="0.25">
      <c r="A220" s="4">
        <v>44703</v>
      </c>
      <c r="B220" s="1" t="s">
        <v>6</v>
      </c>
      <c r="C220" s="1" t="s">
        <v>7</v>
      </c>
      <c r="D220" s="1" t="s">
        <v>13</v>
      </c>
      <c r="E220" s="1">
        <v>13999</v>
      </c>
      <c r="F220" s="1">
        <v>37</v>
      </c>
      <c r="G220" s="7">
        <f t="shared" si="3"/>
        <v>517963</v>
      </c>
    </row>
    <row r="221" spans="1:7" ht="15.75" x14ac:dyDescent="0.25">
      <c r="A221" s="5">
        <v>44707</v>
      </c>
      <c r="B221" s="2" t="s">
        <v>18</v>
      </c>
      <c r="C221" s="2" t="s">
        <v>19</v>
      </c>
      <c r="D221" s="2" t="s">
        <v>17</v>
      </c>
      <c r="E221" s="2">
        <v>22000</v>
      </c>
      <c r="F221" s="2">
        <v>45</v>
      </c>
      <c r="G221" s="8">
        <f t="shared" si="3"/>
        <v>990000</v>
      </c>
    </row>
    <row r="222" spans="1:7" ht="15.75" x14ac:dyDescent="0.25">
      <c r="A222" s="4">
        <v>44711</v>
      </c>
      <c r="B222" s="1" t="s">
        <v>18</v>
      </c>
      <c r="C222" s="1" t="s">
        <v>19</v>
      </c>
      <c r="D222" s="1" t="s">
        <v>23</v>
      </c>
      <c r="E222" s="1">
        <v>89999</v>
      </c>
      <c r="F222" s="1">
        <v>15</v>
      </c>
      <c r="G222" s="7">
        <f t="shared" si="3"/>
        <v>1349985</v>
      </c>
    </row>
    <row r="223" spans="1:7" ht="15.75" x14ac:dyDescent="0.25">
      <c r="A223" s="5">
        <v>44715</v>
      </c>
      <c r="B223" s="2" t="s">
        <v>9</v>
      </c>
      <c r="C223" s="2" t="s">
        <v>15</v>
      </c>
      <c r="D223" s="2" t="s">
        <v>17</v>
      </c>
      <c r="E223" s="2">
        <v>13999</v>
      </c>
      <c r="F223" s="2">
        <v>22</v>
      </c>
      <c r="G223" s="8">
        <f t="shared" si="3"/>
        <v>307978</v>
      </c>
    </row>
    <row r="224" spans="1:7" ht="15.75" x14ac:dyDescent="0.25">
      <c r="A224" s="4">
        <v>44719</v>
      </c>
      <c r="B224" s="1" t="s">
        <v>11</v>
      </c>
      <c r="C224" s="1" t="s">
        <v>21</v>
      </c>
      <c r="D224" s="1" t="s">
        <v>13</v>
      </c>
      <c r="E224" s="1">
        <v>2900</v>
      </c>
      <c r="F224" s="1">
        <v>20</v>
      </c>
      <c r="G224" s="7">
        <f t="shared" si="3"/>
        <v>58000</v>
      </c>
    </row>
    <row r="225" spans="1:7" ht="15.75" x14ac:dyDescent="0.25">
      <c r="A225" s="5">
        <v>44723</v>
      </c>
      <c r="B225" s="2" t="s">
        <v>9</v>
      </c>
      <c r="C225" s="2" t="s">
        <v>19</v>
      </c>
      <c r="D225" s="2" t="s">
        <v>17</v>
      </c>
      <c r="E225" s="2">
        <v>33000</v>
      </c>
      <c r="F225" s="2">
        <v>16</v>
      </c>
      <c r="G225" s="8">
        <f t="shared" si="3"/>
        <v>528000</v>
      </c>
    </row>
    <row r="226" spans="1:7" ht="15.75" x14ac:dyDescent="0.25">
      <c r="A226" s="4">
        <v>44727</v>
      </c>
      <c r="B226" s="1" t="s">
        <v>18</v>
      </c>
      <c r="C226" s="1" t="s">
        <v>15</v>
      </c>
      <c r="D226" s="1" t="s">
        <v>10</v>
      </c>
      <c r="E226" s="1">
        <v>22000</v>
      </c>
      <c r="F226" s="1">
        <v>17</v>
      </c>
      <c r="G226" s="7">
        <f t="shared" si="3"/>
        <v>374000</v>
      </c>
    </row>
    <row r="227" spans="1:7" ht="15.75" x14ac:dyDescent="0.25">
      <c r="A227" s="5">
        <v>44731</v>
      </c>
      <c r="B227" s="2" t="s">
        <v>22</v>
      </c>
      <c r="C227" s="2" t="s">
        <v>21</v>
      </c>
      <c r="D227" s="2" t="s">
        <v>10</v>
      </c>
      <c r="E227" s="2">
        <v>699</v>
      </c>
      <c r="F227" s="2">
        <v>50</v>
      </c>
      <c r="G227" s="8">
        <f t="shared" si="3"/>
        <v>34950</v>
      </c>
    </row>
    <row r="228" spans="1:7" ht="15.75" x14ac:dyDescent="0.25">
      <c r="A228" s="4">
        <v>44735</v>
      </c>
      <c r="B228" s="1" t="s">
        <v>11</v>
      </c>
      <c r="C228" s="1" t="s">
        <v>19</v>
      </c>
      <c r="D228" s="1" t="s">
        <v>13</v>
      </c>
      <c r="E228" s="1">
        <v>499</v>
      </c>
      <c r="F228" s="1">
        <v>4</v>
      </c>
      <c r="G228" s="7">
        <f t="shared" si="3"/>
        <v>1996</v>
      </c>
    </row>
    <row r="229" spans="1:7" ht="15.75" x14ac:dyDescent="0.25">
      <c r="A229" s="5">
        <v>44739</v>
      </c>
      <c r="B229" s="2" t="s">
        <v>22</v>
      </c>
      <c r="C229" s="2" t="s">
        <v>21</v>
      </c>
      <c r="D229" s="2" t="s">
        <v>17</v>
      </c>
      <c r="E229" s="2">
        <v>590</v>
      </c>
      <c r="F229" s="2">
        <v>43</v>
      </c>
      <c r="G229" s="8">
        <f t="shared" si="3"/>
        <v>25370</v>
      </c>
    </row>
    <row r="230" spans="1:7" ht="15.75" x14ac:dyDescent="0.25">
      <c r="A230" s="4">
        <v>44743</v>
      </c>
      <c r="B230" s="1" t="s">
        <v>22</v>
      </c>
      <c r="C230" s="1" t="s">
        <v>21</v>
      </c>
      <c r="D230" s="1" t="s">
        <v>10</v>
      </c>
      <c r="E230" s="1">
        <v>590</v>
      </c>
      <c r="F230" s="1">
        <v>42</v>
      </c>
      <c r="G230" s="7">
        <f t="shared" si="3"/>
        <v>24780</v>
      </c>
    </row>
    <row r="231" spans="1:7" ht="15.75" x14ac:dyDescent="0.25">
      <c r="A231" s="5">
        <v>44747</v>
      </c>
      <c r="B231" s="2" t="s">
        <v>14</v>
      </c>
      <c r="C231" s="2" t="s">
        <v>16</v>
      </c>
      <c r="D231" s="2" t="s">
        <v>8</v>
      </c>
      <c r="E231" s="2">
        <v>120</v>
      </c>
      <c r="F231" s="2">
        <v>9</v>
      </c>
      <c r="G231" s="8">
        <f t="shared" si="3"/>
        <v>1080</v>
      </c>
    </row>
    <row r="232" spans="1:7" ht="15.75" x14ac:dyDescent="0.25">
      <c r="A232" s="4">
        <v>44751</v>
      </c>
      <c r="B232" s="1" t="s">
        <v>11</v>
      </c>
      <c r="C232" s="1" t="s">
        <v>19</v>
      </c>
      <c r="D232" s="1" t="s">
        <v>23</v>
      </c>
      <c r="E232" s="1">
        <v>52000</v>
      </c>
      <c r="F232" s="1">
        <v>40</v>
      </c>
      <c r="G232" s="7">
        <f t="shared" si="3"/>
        <v>2080000</v>
      </c>
    </row>
    <row r="233" spans="1:7" ht="15.75" x14ac:dyDescent="0.25">
      <c r="A233" s="5">
        <v>44755</v>
      </c>
      <c r="B233" s="2" t="s">
        <v>18</v>
      </c>
      <c r="C233" s="2" t="s">
        <v>15</v>
      </c>
      <c r="D233" s="2" t="s">
        <v>17</v>
      </c>
      <c r="E233" s="2">
        <v>7999</v>
      </c>
      <c r="F233" s="2">
        <v>14</v>
      </c>
      <c r="G233" s="8">
        <f t="shared" si="3"/>
        <v>111986</v>
      </c>
    </row>
    <row r="234" spans="1:7" ht="15.75" x14ac:dyDescent="0.25">
      <c r="A234" s="4">
        <v>44759</v>
      </c>
      <c r="B234" s="1" t="s">
        <v>11</v>
      </c>
      <c r="C234" s="1" t="s">
        <v>12</v>
      </c>
      <c r="D234" s="1" t="s">
        <v>20</v>
      </c>
      <c r="E234" s="1">
        <v>550</v>
      </c>
      <c r="F234" s="1">
        <v>9</v>
      </c>
      <c r="G234" s="7">
        <f t="shared" si="3"/>
        <v>4950</v>
      </c>
    </row>
    <row r="235" spans="1:7" ht="15.75" x14ac:dyDescent="0.25">
      <c r="A235" s="5">
        <v>44763</v>
      </c>
      <c r="B235" s="2" t="s">
        <v>18</v>
      </c>
      <c r="C235" s="2" t="s">
        <v>19</v>
      </c>
      <c r="D235" s="2" t="s">
        <v>17</v>
      </c>
      <c r="E235" s="2">
        <v>79999</v>
      </c>
      <c r="F235" s="2">
        <v>10</v>
      </c>
      <c r="G235" s="8">
        <f t="shared" si="3"/>
        <v>799990</v>
      </c>
    </row>
    <row r="236" spans="1:7" ht="15.75" x14ac:dyDescent="0.25">
      <c r="A236" s="4">
        <v>44767</v>
      </c>
      <c r="B236" s="1" t="s">
        <v>9</v>
      </c>
      <c r="C236" s="1" t="s">
        <v>15</v>
      </c>
      <c r="D236" s="1" t="s">
        <v>10</v>
      </c>
      <c r="E236" s="1">
        <v>1999</v>
      </c>
      <c r="F236" s="1">
        <v>37</v>
      </c>
      <c r="G236" s="7">
        <f t="shared" si="3"/>
        <v>73963</v>
      </c>
    </row>
    <row r="237" spans="1:7" ht="15.75" x14ac:dyDescent="0.25">
      <c r="A237" s="5">
        <v>44771</v>
      </c>
      <c r="B237" s="2" t="s">
        <v>11</v>
      </c>
      <c r="C237" s="2" t="s">
        <v>19</v>
      </c>
      <c r="D237" s="2" t="s">
        <v>17</v>
      </c>
      <c r="E237" s="2">
        <v>89999</v>
      </c>
      <c r="F237" s="2">
        <v>29</v>
      </c>
      <c r="G237" s="8">
        <f t="shared" si="3"/>
        <v>2609971</v>
      </c>
    </row>
    <row r="238" spans="1:7" ht="15.75" x14ac:dyDescent="0.25">
      <c r="A238" s="4">
        <v>44775</v>
      </c>
      <c r="B238" s="1" t="s">
        <v>18</v>
      </c>
      <c r="C238" s="1" t="s">
        <v>19</v>
      </c>
      <c r="D238" s="1" t="s">
        <v>8</v>
      </c>
      <c r="E238" s="1">
        <v>799</v>
      </c>
      <c r="F238" s="1">
        <v>44</v>
      </c>
      <c r="G238" s="7">
        <f t="shared" si="3"/>
        <v>35156</v>
      </c>
    </row>
    <row r="239" spans="1:7" ht="15.75" x14ac:dyDescent="0.25">
      <c r="A239" s="5">
        <v>44779</v>
      </c>
      <c r="B239" s="2" t="s">
        <v>18</v>
      </c>
      <c r="C239" s="2" t="s">
        <v>19</v>
      </c>
      <c r="D239" s="2" t="s">
        <v>23</v>
      </c>
      <c r="E239" s="2">
        <v>3990</v>
      </c>
      <c r="F239" s="2">
        <v>31</v>
      </c>
      <c r="G239" s="8">
        <f t="shared" si="3"/>
        <v>123690</v>
      </c>
    </row>
    <row r="240" spans="1:7" ht="15.75" x14ac:dyDescent="0.25">
      <c r="A240" s="4">
        <v>44783</v>
      </c>
      <c r="B240" s="1" t="s">
        <v>11</v>
      </c>
      <c r="C240" s="1" t="s">
        <v>15</v>
      </c>
      <c r="D240" s="1" t="s">
        <v>13</v>
      </c>
      <c r="E240" s="1">
        <v>52000</v>
      </c>
      <c r="F240" s="1">
        <v>29</v>
      </c>
      <c r="G240" s="7">
        <f t="shared" si="3"/>
        <v>1508000</v>
      </c>
    </row>
    <row r="241" spans="1:7" ht="15.75" x14ac:dyDescent="0.25">
      <c r="A241" s="5">
        <v>44787</v>
      </c>
      <c r="B241" s="2" t="s">
        <v>6</v>
      </c>
      <c r="C241" s="2" t="s">
        <v>7</v>
      </c>
      <c r="D241" s="2" t="s">
        <v>17</v>
      </c>
      <c r="E241" s="2">
        <v>13999</v>
      </c>
      <c r="F241" s="2">
        <v>34</v>
      </c>
      <c r="G241" s="8">
        <f t="shared" si="3"/>
        <v>475966</v>
      </c>
    </row>
    <row r="242" spans="1:7" ht="15.75" x14ac:dyDescent="0.25">
      <c r="A242" s="4">
        <v>44791</v>
      </c>
      <c r="B242" s="1" t="s">
        <v>11</v>
      </c>
      <c r="C242" s="1" t="s">
        <v>16</v>
      </c>
      <c r="D242" s="1" t="s">
        <v>13</v>
      </c>
      <c r="E242" s="1">
        <v>120</v>
      </c>
      <c r="F242" s="1">
        <v>29</v>
      </c>
      <c r="G242" s="7">
        <f t="shared" si="3"/>
        <v>3480</v>
      </c>
    </row>
    <row r="243" spans="1:7" ht="15.75" x14ac:dyDescent="0.25">
      <c r="A243" s="5">
        <v>44795</v>
      </c>
      <c r="B243" s="2" t="s">
        <v>18</v>
      </c>
      <c r="C243" s="2" t="s">
        <v>12</v>
      </c>
      <c r="D243" s="2" t="s">
        <v>8</v>
      </c>
      <c r="E243" s="2">
        <v>23999</v>
      </c>
      <c r="F243" s="2">
        <v>25</v>
      </c>
      <c r="G243" s="8">
        <f t="shared" si="3"/>
        <v>599975</v>
      </c>
    </row>
    <row r="244" spans="1:7" ht="15.75" x14ac:dyDescent="0.25">
      <c r="A244" s="4">
        <v>44799</v>
      </c>
      <c r="B244" s="1" t="s">
        <v>11</v>
      </c>
      <c r="C244" s="1" t="s">
        <v>12</v>
      </c>
      <c r="D244" s="1" t="s">
        <v>17</v>
      </c>
      <c r="E244" s="1">
        <v>1250</v>
      </c>
      <c r="F244" s="1">
        <v>31</v>
      </c>
      <c r="G244" s="7">
        <f t="shared" si="3"/>
        <v>38750</v>
      </c>
    </row>
    <row r="245" spans="1:7" ht="15.75" x14ac:dyDescent="0.25">
      <c r="A245" s="5">
        <v>44803</v>
      </c>
      <c r="B245" s="2" t="s">
        <v>22</v>
      </c>
      <c r="C245" s="2" t="s">
        <v>15</v>
      </c>
      <c r="D245" s="2" t="s">
        <v>17</v>
      </c>
      <c r="E245" s="2">
        <v>45000</v>
      </c>
      <c r="F245" s="2">
        <v>16</v>
      </c>
      <c r="G245" s="8">
        <f t="shared" si="3"/>
        <v>720000</v>
      </c>
    </row>
    <row r="246" spans="1:7" ht="15.75" x14ac:dyDescent="0.25">
      <c r="A246" s="4">
        <v>44807</v>
      </c>
      <c r="B246" s="1" t="s">
        <v>9</v>
      </c>
      <c r="C246" s="1" t="s">
        <v>16</v>
      </c>
      <c r="D246" s="1" t="s">
        <v>13</v>
      </c>
      <c r="E246" s="1">
        <v>120</v>
      </c>
      <c r="F246" s="1">
        <v>48</v>
      </c>
      <c r="G246" s="7">
        <f t="shared" si="3"/>
        <v>5760</v>
      </c>
    </row>
    <row r="247" spans="1:7" ht="15.75" x14ac:dyDescent="0.25">
      <c r="A247" s="5">
        <v>44811</v>
      </c>
      <c r="B247" s="2" t="s">
        <v>11</v>
      </c>
      <c r="C247" s="2" t="s">
        <v>15</v>
      </c>
      <c r="D247" s="2" t="s">
        <v>20</v>
      </c>
      <c r="E247" s="2">
        <v>25600</v>
      </c>
      <c r="F247" s="2">
        <v>22</v>
      </c>
      <c r="G247" s="8">
        <f t="shared" si="3"/>
        <v>563200</v>
      </c>
    </row>
    <row r="248" spans="1:7" ht="15.75" x14ac:dyDescent="0.25">
      <c r="A248" s="4">
        <v>44815</v>
      </c>
      <c r="B248" s="1" t="s">
        <v>22</v>
      </c>
      <c r="C248" s="1" t="s">
        <v>21</v>
      </c>
      <c r="D248" s="1" t="s">
        <v>17</v>
      </c>
      <c r="E248" s="1">
        <v>699</v>
      </c>
      <c r="F248" s="1">
        <v>6</v>
      </c>
      <c r="G248" s="7">
        <f t="shared" si="3"/>
        <v>4194</v>
      </c>
    </row>
    <row r="249" spans="1:7" ht="15.75" x14ac:dyDescent="0.25">
      <c r="A249" s="5">
        <v>44819</v>
      </c>
      <c r="B249" s="2" t="s">
        <v>22</v>
      </c>
      <c r="C249" s="2" t="s">
        <v>15</v>
      </c>
      <c r="D249" s="2" t="s">
        <v>13</v>
      </c>
      <c r="E249" s="2">
        <v>99620</v>
      </c>
      <c r="F249" s="2">
        <v>12</v>
      </c>
      <c r="G249" s="8">
        <f t="shared" si="3"/>
        <v>1195440</v>
      </c>
    </row>
    <row r="250" spans="1:7" ht="15.75" x14ac:dyDescent="0.25">
      <c r="A250" s="4">
        <v>44823</v>
      </c>
      <c r="B250" s="1" t="s">
        <v>11</v>
      </c>
      <c r="C250" s="1" t="s">
        <v>21</v>
      </c>
      <c r="D250" s="1" t="s">
        <v>23</v>
      </c>
      <c r="E250" s="1">
        <v>450</v>
      </c>
      <c r="F250" s="1">
        <v>44</v>
      </c>
      <c r="G250" s="7">
        <f t="shared" si="3"/>
        <v>19800</v>
      </c>
    </row>
    <row r="251" spans="1:7" ht="15.75" x14ac:dyDescent="0.25">
      <c r="A251" s="5">
        <v>44827</v>
      </c>
      <c r="B251" s="2" t="s">
        <v>22</v>
      </c>
      <c r="C251" s="2" t="s">
        <v>21</v>
      </c>
      <c r="D251" s="2" t="s">
        <v>13</v>
      </c>
      <c r="E251" s="2">
        <v>1499</v>
      </c>
      <c r="F251" s="2">
        <v>15</v>
      </c>
      <c r="G251" s="8">
        <f t="shared" si="3"/>
        <v>22485</v>
      </c>
    </row>
    <row r="252" spans="1:7" ht="15.75" x14ac:dyDescent="0.25">
      <c r="A252" s="4">
        <v>44831</v>
      </c>
      <c r="B252" s="1" t="s">
        <v>6</v>
      </c>
      <c r="C252" s="1" t="s">
        <v>15</v>
      </c>
      <c r="D252" s="1" t="s">
        <v>20</v>
      </c>
      <c r="E252" s="1">
        <v>49500</v>
      </c>
      <c r="F252" s="1">
        <v>26</v>
      </c>
      <c r="G252" s="7">
        <f t="shared" si="3"/>
        <v>1287000</v>
      </c>
    </row>
    <row r="253" spans="1:7" ht="15.75" x14ac:dyDescent="0.25">
      <c r="A253" s="5">
        <v>44835</v>
      </c>
      <c r="B253" s="2" t="s">
        <v>9</v>
      </c>
      <c r="C253" s="2" t="s">
        <v>12</v>
      </c>
      <c r="D253" s="2" t="s">
        <v>20</v>
      </c>
      <c r="E253" s="2">
        <v>960</v>
      </c>
      <c r="F253" s="2">
        <v>16</v>
      </c>
      <c r="G253" s="8">
        <f t="shared" si="3"/>
        <v>15360</v>
      </c>
    </row>
    <row r="254" spans="1:7" ht="15.75" x14ac:dyDescent="0.25">
      <c r="A254" s="4">
        <v>44839</v>
      </c>
      <c r="B254" s="1" t="s">
        <v>11</v>
      </c>
      <c r="C254" s="1" t="s">
        <v>7</v>
      </c>
      <c r="D254" s="1" t="s">
        <v>17</v>
      </c>
      <c r="E254" s="1">
        <v>5599</v>
      </c>
      <c r="F254" s="1">
        <v>35</v>
      </c>
      <c r="G254" s="7">
        <f t="shared" si="3"/>
        <v>195965</v>
      </c>
    </row>
    <row r="255" spans="1:7" ht="15.75" x14ac:dyDescent="0.25">
      <c r="A255" s="5">
        <v>44843</v>
      </c>
      <c r="B255" s="2" t="s">
        <v>14</v>
      </c>
      <c r="C255" s="2" t="s">
        <v>16</v>
      </c>
      <c r="D255" s="2" t="s">
        <v>8</v>
      </c>
      <c r="E255" s="2">
        <v>89</v>
      </c>
      <c r="F255" s="2">
        <v>36</v>
      </c>
      <c r="G255" s="8">
        <f t="shared" si="3"/>
        <v>3204</v>
      </c>
    </row>
    <row r="256" spans="1:7" ht="15.75" x14ac:dyDescent="0.25">
      <c r="A256" s="4">
        <v>44847</v>
      </c>
      <c r="B256" s="1" t="s">
        <v>6</v>
      </c>
      <c r="C256" s="1" t="s">
        <v>7</v>
      </c>
      <c r="D256" s="1" t="s">
        <v>23</v>
      </c>
      <c r="E256" s="1">
        <v>2550</v>
      </c>
      <c r="F256" s="1">
        <v>20</v>
      </c>
      <c r="G256" s="7">
        <f t="shared" si="3"/>
        <v>51000</v>
      </c>
    </row>
    <row r="257" spans="1:7" ht="15.75" x14ac:dyDescent="0.25">
      <c r="A257" s="5">
        <v>44851</v>
      </c>
      <c r="B257" s="2" t="s">
        <v>11</v>
      </c>
      <c r="C257" s="2" t="s">
        <v>15</v>
      </c>
      <c r="D257" s="2" t="s">
        <v>8</v>
      </c>
      <c r="E257" s="2">
        <v>14500</v>
      </c>
      <c r="F257" s="2">
        <v>47</v>
      </c>
      <c r="G257" s="8">
        <f t="shared" si="3"/>
        <v>681500</v>
      </c>
    </row>
    <row r="258" spans="1:7" ht="15.75" x14ac:dyDescent="0.25">
      <c r="A258" s="4">
        <v>44855</v>
      </c>
      <c r="B258" s="1" t="s">
        <v>22</v>
      </c>
      <c r="C258" s="1" t="s">
        <v>21</v>
      </c>
      <c r="D258" s="1" t="s">
        <v>17</v>
      </c>
      <c r="E258" s="1">
        <v>2900</v>
      </c>
      <c r="F258" s="1">
        <v>6</v>
      </c>
      <c r="G258" s="7">
        <f t="shared" si="3"/>
        <v>17400</v>
      </c>
    </row>
    <row r="259" spans="1:7" ht="15.75" x14ac:dyDescent="0.25">
      <c r="A259" s="5">
        <v>44859</v>
      </c>
      <c r="B259" s="2" t="s">
        <v>14</v>
      </c>
      <c r="C259" s="2" t="s">
        <v>16</v>
      </c>
      <c r="D259" s="2" t="s">
        <v>20</v>
      </c>
      <c r="E259" s="2">
        <v>120</v>
      </c>
      <c r="F259" s="2">
        <v>6</v>
      </c>
      <c r="G259" s="8">
        <f t="shared" ref="G259:G279" si="4">E259*F259</f>
        <v>720</v>
      </c>
    </row>
    <row r="260" spans="1:7" ht="15.75" x14ac:dyDescent="0.25">
      <c r="A260" s="4">
        <v>44863</v>
      </c>
      <c r="B260" s="1" t="s">
        <v>18</v>
      </c>
      <c r="C260" s="1" t="s">
        <v>15</v>
      </c>
      <c r="D260" s="1" t="s">
        <v>13</v>
      </c>
      <c r="E260" s="1">
        <v>52000</v>
      </c>
      <c r="F260" s="1">
        <v>41</v>
      </c>
      <c r="G260" s="7">
        <f t="shared" si="4"/>
        <v>2132000</v>
      </c>
    </row>
    <row r="261" spans="1:7" ht="15.75" x14ac:dyDescent="0.25">
      <c r="A261" s="5">
        <v>44867</v>
      </c>
      <c r="B261" s="2" t="s">
        <v>9</v>
      </c>
      <c r="C261" s="2" t="s">
        <v>21</v>
      </c>
      <c r="D261" s="2" t="s">
        <v>10</v>
      </c>
      <c r="E261" s="2">
        <v>590</v>
      </c>
      <c r="F261" s="2">
        <v>29</v>
      </c>
      <c r="G261" s="8">
        <f t="shared" si="4"/>
        <v>17110</v>
      </c>
    </row>
    <row r="262" spans="1:7" ht="15.75" x14ac:dyDescent="0.25">
      <c r="A262" s="4">
        <v>44871</v>
      </c>
      <c r="B262" s="1" t="s">
        <v>18</v>
      </c>
      <c r="C262" s="1" t="s">
        <v>12</v>
      </c>
      <c r="D262" s="1" t="s">
        <v>20</v>
      </c>
      <c r="E262" s="1">
        <v>7999</v>
      </c>
      <c r="F262" s="1">
        <v>31</v>
      </c>
      <c r="G262" s="7">
        <f t="shared" si="4"/>
        <v>247969</v>
      </c>
    </row>
    <row r="263" spans="1:7" ht="15.75" x14ac:dyDescent="0.25">
      <c r="A263" s="5">
        <v>44875</v>
      </c>
      <c r="B263" s="2" t="s">
        <v>11</v>
      </c>
      <c r="C263" s="2" t="s">
        <v>16</v>
      </c>
      <c r="D263" s="2" t="s">
        <v>10</v>
      </c>
      <c r="E263" s="2">
        <v>999</v>
      </c>
      <c r="F263" s="2">
        <v>34</v>
      </c>
      <c r="G263" s="8">
        <f t="shared" si="4"/>
        <v>33966</v>
      </c>
    </row>
    <row r="264" spans="1:7" ht="15.75" x14ac:dyDescent="0.25">
      <c r="A264" s="4">
        <v>44879</v>
      </c>
      <c r="B264" s="1" t="s">
        <v>22</v>
      </c>
      <c r="C264" s="1" t="s">
        <v>15</v>
      </c>
      <c r="D264" s="1" t="s">
        <v>13</v>
      </c>
      <c r="E264" s="1">
        <v>990</v>
      </c>
      <c r="F264" s="1">
        <v>43</v>
      </c>
      <c r="G264" s="7">
        <f t="shared" si="4"/>
        <v>42570</v>
      </c>
    </row>
    <row r="265" spans="1:7" ht="15.75" x14ac:dyDescent="0.25">
      <c r="A265" s="5">
        <v>44883</v>
      </c>
      <c r="B265" s="2" t="s">
        <v>11</v>
      </c>
      <c r="C265" s="2" t="s">
        <v>19</v>
      </c>
      <c r="D265" s="2" t="s">
        <v>8</v>
      </c>
      <c r="E265" s="2">
        <v>11999</v>
      </c>
      <c r="F265" s="2">
        <v>37</v>
      </c>
      <c r="G265" s="8">
        <f t="shared" si="4"/>
        <v>443963</v>
      </c>
    </row>
    <row r="266" spans="1:7" ht="15.75" x14ac:dyDescent="0.25">
      <c r="A266" s="4">
        <v>44887</v>
      </c>
      <c r="B266" s="1" t="s">
        <v>9</v>
      </c>
      <c r="C266" s="1" t="s">
        <v>12</v>
      </c>
      <c r="D266" s="1" t="s">
        <v>8</v>
      </c>
      <c r="E266" s="1">
        <v>960</v>
      </c>
      <c r="F266" s="1">
        <v>7</v>
      </c>
      <c r="G266" s="7">
        <f t="shared" si="4"/>
        <v>6720</v>
      </c>
    </row>
    <row r="267" spans="1:7" ht="15.75" x14ac:dyDescent="0.25">
      <c r="A267" s="5">
        <v>44891</v>
      </c>
      <c r="B267" s="2" t="s">
        <v>6</v>
      </c>
      <c r="C267" s="2" t="s">
        <v>7</v>
      </c>
      <c r="D267" s="2" t="s">
        <v>13</v>
      </c>
      <c r="E267" s="2">
        <v>1450</v>
      </c>
      <c r="F267" s="2">
        <v>19</v>
      </c>
      <c r="G267" s="8">
        <f t="shared" si="4"/>
        <v>27550</v>
      </c>
    </row>
    <row r="268" spans="1:7" ht="15.75" x14ac:dyDescent="0.25">
      <c r="A268" s="4">
        <v>44895</v>
      </c>
      <c r="B268" s="1" t="s">
        <v>22</v>
      </c>
      <c r="C268" s="1" t="s">
        <v>21</v>
      </c>
      <c r="D268" s="1" t="s">
        <v>10</v>
      </c>
      <c r="E268" s="1">
        <v>450</v>
      </c>
      <c r="F268" s="1">
        <v>47</v>
      </c>
      <c r="G268" s="7">
        <f t="shared" si="4"/>
        <v>21150</v>
      </c>
    </row>
    <row r="269" spans="1:7" ht="15.75" x14ac:dyDescent="0.25">
      <c r="A269" s="5">
        <v>44899</v>
      </c>
      <c r="B269" s="2" t="s">
        <v>11</v>
      </c>
      <c r="C269" s="2" t="s">
        <v>15</v>
      </c>
      <c r="D269" s="2" t="s">
        <v>10</v>
      </c>
      <c r="E269" s="2">
        <v>1499</v>
      </c>
      <c r="F269" s="2">
        <v>37</v>
      </c>
      <c r="G269" s="8">
        <f t="shared" si="4"/>
        <v>55463</v>
      </c>
    </row>
    <row r="270" spans="1:7" ht="15.75" x14ac:dyDescent="0.25">
      <c r="A270" s="4">
        <v>44903</v>
      </c>
      <c r="B270" s="1" t="s">
        <v>18</v>
      </c>
      <c r="C270" s="1" t="s">
        <v>19</v>
      </c>
      <c r="D270" s="1" t="s">
        <v>10</v>
      </c>
      <c r="E270" s="1">
        <v>79999</v>
      </c>
      <c r="F270" s="1">
        <v>4</v>
      </c>
      <c r="G270" s="7">
        <f t="shared" si="4"/>
        <v>319996</v>
      </c>
    </row>
    <row r="271" spans="1:7" ht="15.75" x14ac:dyDescent="0.25">
      <c r="A271" s="5">
        <v>44907</v>
      </c>
      <c r="B271" s="2" t="s">
        <v>11</v>
      </c>
      <c r="C271" s="2" t="s">
        <v>16</v>
      </c>
      <c r="D271" s="2" t="s">
        <v>20</v>
      </c>
      <c r="E271" s="2">
        <v>999</v>
      </c>
      <c r="F271" s="2">
        <v>45</v>
      </c>
      <c r="G271" s="8">
        <f t="shared" si="4"/>
        <v>44955</v>
      </c>
    </row>
    <row r="272" spans="1:7" ht="15.75" x14ac:dyDescent="0.25">
      <c r="A272" s="4">
        <v>44911</v>
      </c>
      <c r="B272" s="1" t="s">
        <v>18</v>
      </c>
      <c r="C272" s="1" t="s">
        <v>19</v>
      </c>
      <c r="D272" s="1" t="s">
        <v>8</v>
      </c>
      <c r="E272" s="1">
        <v>52000</v>
      </c>
      <c r="F272" s="1">
        <v>15</v>
      </c>
      <c r="G272" s="7">
        <f t="shared" si="4"/>
        <v>780000</v>
      </c>
    </row>
    <row r="273" spans="1:7" ht="15.75" x14ac:dyDescent="0.25">
      <c r="A273" s="5">
        <v>44915</v>
      </c>
      <c r="B273" s="2" t="s">
        <v>9</v>
      </c>
      <c r="C273" s="2" t="s">
        <v>19</v>
      </c>
      <c r="D273" s="2" t="s">
        <v>17</v>
      </c>
      <c r="E273" s="2">
        <v>52000</v>
      </c>
      <c r="F273" s="2">
        <v>39</v>
      </c>
      <c r="G273" s="8">
        <f t="shared" si="4"/>
        <v>2028000</v>
      </c>
    </row>
    <row r="274" spans="1:7" ht="15.75" x14ac:dyDescent="0.25">
      <c r="A274" s="4">
        <v>44919</v>
      </c>
      <c r="B274" s="1" t="s">
        <v>11</v>
      </c>
      <c r="C274" s="1" t="s">
        <v>12</v>
      </c>
      <c r="D274" s="1" t="s">
        <v>17</v>
      </c>
      <c r="E274" s="1">
        <v>960</v>
      </c>
      <c r="F274" s="1">
        <v>33</v>
      </c>
      <c r="G274" s="7">
        <f t="shared" si="4"/>
        <v>31680</v>
      </c>
    </row>
    <row r="275" spans="1:7" ht="15.75" x14ac:dyDescent="0.25">
      <c r="A275" s="6">
        <v>44923</v>
      </c>
      <c r="B275" s="3" t="s">
        <v>18</v>
      </c>
      <c r="C275" s="3" t="s">
        <v>12</v>
      </c>
      <c r="D275" s="3" t="s">
        <v>13</v>
      </c>
      <c r="E275" s="3">
        <v>1450</v>
      </c>
      <c r="F275" s="3">
        <v>34</v>
      </c>
      <c r="G275" s="9">
        <f t="shared" si="4"/>
        <v>49300</v>
      </c>
    </row>
    <row r="276" spans="1:7" ht="15.75" x14ac:dyDescent="0.25">
      <c r="A276" s="4">
        <v>44913</v>
      </c>
      <c r="B276" s="1" t="s">
        <v>22</v>
      </c>
      <c r="C276" s="1" t="s">
        <v>21</v>
      </c>
      <c r="D276" s="1" t="s">
        <v>23</v>
      </c>
      <c r="E276" s="1">
        <v>2500</v>
      </c>
      <c r="F276" s="1">
        <v>100</v>
      </c>
      <c r="G276" s="7">
        <f t="shared" si="4"/>
        <v>250000</v>
      </c>
    </row>
    <row r="277" spans="1:7" ht="15.75" x14ac:dyDescent="0.25">
      <c r="A277" s="5">
        <v>44917</v>
      </c>
      <c r="B277" s="2" t="s">
        <v>9</v>
      </c>
      <c r="C277" s="2" t="s">
        <v>15</v>
      </c>
      <c r="D277" s="2" t="s">
        <v>23</v>
      </c>
      <c r="E277" s="2">
        <v>86540</v>
      </c>
      <c r="F277" s="2">
        <v>6</v>
      </c>
      <c r="G277" s="8">
        <f t="shared" si="4"/>
        <v>519240</v>
      </c>
    </row>
    <row r="278" spans="1:7" ht="15.75" x14ac:dyDescent="0.25">
      <c r="A278" s="4">
        <v>44922</v>
      </c>
      <c r="B278" s="1" t="s">
        <v>14</v>
      </c>
      <c r="C278" s="1" t="s">
        <v>16</v>
      </c>
      <c r="D278" s="1" t="s">
        <v>23</v>
      </c>
      <c r="E278" s="1">
        <v>550</v>
      </c>
      <c r="F278" s="1">
        <v>44</v>
      </c>
      <c r="G278" s="7">
        <f t="shared" si="4"/>
        <v>24200</v>
      </c>
    </row>
    <row r="279" spans="1:7" ht="15.75" x14ac:dyDescent="0.25">
      <c r="A279" s="13">
        <v>44925</v>
      </c>
      <c r="B279" s="14" t="s">
        <v>11</v>
      </c>
      <c r="C279" s="14" t="s">
        <v>19</v>
      </c>
      <c r="D279" s="14" t="s">
        <v>23</v>
      </c>
      <c r="E279" s="14">
        <v>65400</v>
      </c>
      <c r="F279" s="14">
        <v>19</v>
      </c>
      <c r="G279" s="15">
        <f t="shared" si="4"/>
        <v>1242600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L25"/>
  <sheetViews>
    <sheetView topLeftCell="A29" zoomScale="73" workbookViewId="0">
      <selection activeCell="A24" sqref="A24"/>
    </sheetView>
  </sheetViews>
  <sheetFormatPr defaultRowHeight="15" x14ac:dyDescent="0.25"/>
  <cols>
    <col min="9" max="9" width="11.85546875" bestFit="1" customWidth="1"/>
    <col min="27" max="27" width="11.85546875" bestFit="1" customWidth="1"/>
  </cols>
  <sheetData>
    <row r="25" spans="12:12" x14ac:dyDescent="0.25">
      <c r="L25"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3FF4A-74CA-47B1-9A75-A884C4379D6E}">
  <dimension ref="L25"/>
  <sheetViews>
    <sheetView topLeftCell="A12" zoomScale="73" workbookViewId="0">
      <selection activeCell="K53" sqref="K53"/>
    </sheetView>
  </sheetViews>
  <sheetFormatPr defaultRowHeight="15" x14ac:dyDescent="0.25"/>
  <cols>
    <col min="9" max="9" width="11.85546875" bestFit="1" customWidth="1"/>
    <col min="27" max="27" width="11.85546875" bestFit="1" customWidth="1"/>
  </cols>
  <sheetData>
    <row r="25" spans="12:12" x14ac:dyDescent="0.25">
      <c r="L25"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08B51-E95C-43CE-977F-3D61C477DBFD}">
  <dimension ref="L25"/>
  <sheetViews>
    <sheetView topLeftCell="A8" zoomScale="73" workbookViewId="0">
      <selection activeCell="I52" sqref="I52"/>
    </sheetView>
  </sheetViews>
  <sheetFormatPr defaultRowHeight="15" x14ac:dyDescent="0.25"/>
  <cols>
    <col min="9" max="9" width="11.85546875" bestFit="1" customWidth="1"/>
    <col min="27" max="27" width="11.85546875" bestFit="1" customWidth="1"/>
  </cols>
  <sheetData>
    <row r="25" spans="12:12" x14ac:dyDescent="0.25">
      <c r="L25"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FAECC-D575-40E5-BE2C-0601BDB6321C}">
  <dimension ref="E5:L25"/>
  <sheetViews>
    <sheetView topLeftCell="A11" zoomScale="66" workbookViewId="0">
      <selection activeCell="O47" sqref="O47"/>
    </sheetView>
  </sheetViews>
  <sheetFormatPr defaultRowHeight="15" x14ac:dyDescent="0.25"/>
  <cols>
    <col min="9" max="9" width="11.85546875" bestFit="1" customWidth="1"/>
    <col min="27" max="27" width="11.85546875" bestFit="1" customWidth="1"/>
  </cols>
  <sheetData>
    <row r="5" spans="5:5" x14ac:dyDescent="0.25">
      <c r="E5" t="e" vm="2">
        <v>#VALUE!</v>
      </c>
    </row>
    <row r="25" spans="12:12" x14ac:dyDescent="0.25">
      <c r="L25" t="e" vm="1">
        <v>#VALUE!</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B4:C4"/>
  <sheetViews>
    <sheetView topLeftCell="J5" workbookViewId="0">
      <selection activeCell="B4" sqref="B4"/>
    </sheetView>
  </sheetViews>
  <sheetFormatPr defaultRowHeight="15" x14ac:dyDescent="0.25"/>
  <cols>
    <col min="2" max="2" width="13.42578125" bestFit="1" customWidth="1"/>
    <col min="3" max="3" width="14.85546875" bestFit="1" customWidth="1"/>
  </cols>
  <sheetData>
    <row r="4" spans="2:3" x14ac:dyDescent="0.25">
      <c r="B4" s="16" t="s">
        <v>37</v>
      </c>
      <c r="C4" t="s">
        <v>38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6DF2B-35A6-4B96-9F9F-0C41EE817F06}">
  <dimension ref="A3:K206"/>
  <sheetViews>
    <sheetView topLeftCell="A24" workbookViewId="0">
      <selection activeCell="E147" sqref="E147"/>
    </sheetView>
  </sheetViews>
  <sheetFormatPr defaultRowHeight="15" x14ac:dyDescent="0.25"/>
  <cols>
    <col min="2" max="2" width="13.42578125" bestFit="1" customWidth="1"/>
    <col min="3" max="3" width="14.85546875" bestFit="1" customWidth="1"/>
    <col min="4" max="4" width="15.28515625" bestFit="1" customWidth="1"/>
    <col min="5" max="5" width="16.42578125" bestFit="1" customWidth="1"/>
    <col min="6" max="9" width="16.85546875" bestFit="1" customWidth="1"/>
    <col min="10" max="10" width="13.42578125" bestFit="1" customWidth="1"/>
    <col min="11" max="11" width="12.42578125" bestFit="1" customWidth="1"/>
    <col min="12" max="557" width="16.85546875" bestFit="1" customWidth="1"/>
    <col min="558" max="558" width="17.5703125" bestFit="1" customWidth="1"/>
    <col min="559" max="559" width="20.85546875" bestFit="1" customWidth="1"/>
  </cols>
  <sheetData>
    <row r="3" spans="2:3" x14ac:dyDescent="0.25">
      <c r="B3" s="16" t="s">
        <v>37</v>
      </c>
      <c r="C3" t="s">
        <v>38</v>
      </c>
    </row>
    <row r="4" spans="2:3" x14ac:dyDescent="0.25">
      <c r="B4" s="17" t="s">
        <v>25</v>
      </c>
      <c r="C4">
        <v>11587825</v>
      </c>
    </row>
    <row r="5" spans="2:3" x14ac:dyDescent="0.25">
      <c r="B5" s="17" t="s">
        <v>26</v>
      </c>
      <c r="C5">
        <v>9933052</v>
      </c>
    </row>
    <row r="6" spans="2:3" x14ac:dyDescent="0.25">
      <c r="B6" s="17" t="s">
        <v>27</v>
      </c>
      <c r="C6">
        <v>5651655</v>
      </c>
    </row>
    <row r="7" spans="2:3" x14ac:dyDescent="0.25">
      <c r="B7" s="17" t="s">
        <v>28</v>
      </c>
      <c r="C7">
        <v>2588013</v>
      </c>
    </row>
    <row r="8" spans="2:3" x14ac:dyDescent="0.25">
      <c r="B8" s="17" t="s">
        <v>29</v>
      </c>
      <c r="C8">
        <v>8435834</v>
      </c>
    </row>
    <row r="9" spans="2:3" x14ac:dyDescent="0.25">
      <c r="B9" s="17" t="s">
        <v>30</v>
      </c>
      <c r="C9">
        <v>3751547</v>
      </c>
    </row>
    <row r="10" spans="2:3" x14ac:dyDescent="0.25">
      <c r="B10" s="17" t="s">
        <v>31</v>
      </c>
      <c r="C10">
        <v>18122063</v>
      </c>
    </row>
    <row r="11" spans="2:3" x14ac:dyDescent="0.25">
      <c r="B11" s="17" t="s">
        <v>32</v>
      </c>
      <c r="C11">
        <v>10988474</v>
      </c>
    </row>
    <row r="12" spans="2:3" x14ac:dyDescent="0.25">
      <c r="B12" s="17" t="s">
        <v>33</v>
      </c>
      <c r="C12">
        <v>13532478</v>
      </c>
    </row>
    <row r="13" spans="2:3" x14ac:dyDescent="0.25">
      <c r="B13" s="17" t="s">
        <v>34</v>
      </c>
      <c r="C13">
        <v>16467945</v>
      </c>
    </row>
    <row r="14" spans="2:3" x14ac:dyDescent="0.25">
      <c r="B14" s="17" t="s">
        <v>35</v>
      </c>
      <c r="C14">
        <v>5605463</v>
      </c>
    </row>
    <row r="15" spans="2:3" x14ac:dyDescent="0.25">
      <c r="B15" s="17" t="s">
        <v>36</v>
      </c>
      <c r="C15">
        <v>12067544</v>
      </c>
    </row>
    <row r="16" spans="2:3" x14ac:dyDescent="0.25">
      <c r="B16" s="17" t="s">
        <v>24</v>
      </c>
      <c r="C16">
        <v>118731893</v>
      </c>
    </row>
    <row r="20" spans="2:3" x14ac:dyDescent="0.25">
      <c r="B20" s="16" t="s">
        <v>37</v>
      </c>
      <c r="C20" t="s">
        <v>38</v>
      </c>
    </row>
    <row r="21" spans="2:3" x14ac:dyDescent="0.25">
      <c r="B21" s="17" t="s">
        <v>15</v>
      </c>
      <c r="C21">
        <v>46830474</v>
      </c>
    </row>
    <row r="22" spans="2:3" x14ac:dyDescent="0.25">
      <c r="B22" s="17" t="s">
        <v>7</v>
      </c>
      <c r="C22">
        <v>5263843</v>
      </c>
    </row>
    <row r="23" spans="2:3" x14ac:dyDescent="0.25">
      <c r="B23" s="17" t="s">
        <v>19</v>
      </c>
      <c r="C23">
        <v>48711017</v>
      </c>
    </row>
    <row r="24" spans="2:3" x14ac:dyDescent="0.25">
      <c r="B24" s="17" t="s">
        <v>12</v>
      </c>
      <c r="C24">
        <v>3523539</v>
      </c>
    </row>
    <row r="25" spans="2:3" x14ac:dyDescent="0.25">
      <c r="B25" s="17" t="s">
        <v>16</v>
      </c>
      <c r="C25">
        <v>10414063</v>
      </c>
    </row>
    <row r="26" spans="2:3" x14ac:dyDescent="0.25">
      <c r="B26" s="17" t="s">
        <v>21</v>
      </c>
      <c r="C26">
        <v>3988957</v>
      </c>
    </row>
    <row r="27" spans="2:3" x14ac:dyDescent="0.25">
      <c r="B27" s="17" t="s">
        <v>24</v>
      </c>
      <c r="C27">
        <v>118731893</v>
      </c>
    </row>
    <row r="31" spans="2:3" x14ac:dyDescent="0.25">
      <c r="B31" s="18" t="s">
        <v>39</v>
      </c>
    </row>
    <row r="32" spans="2:3" x14ac:dyDescent="0.25">
      <c r="B32" s="16" t="s">
        <v>37</v>
      </c>
      <c r="C32" t="s">
        <v>38</v>
      </c>
    </row>
    <row r="33" spans="2:3" x14ac:dyDescent="0.25">
      <c r="B33" s="17" t="s">
        <v>25</v>
      </c>
      <c r="C33">
        <v>11587825</v>
      </c>
    </row>
    <row r="34" spans="2:3" x14ac:dyDescent="0.25">
      <c r="B34" s="17" t="s">
        <v>26</v>
      </c>
      <c r="C34">
        <v>9933052</v>
      </c>
    </row>
    <row r="35" spans="2:3" x14ac:dyDescent="0.25">
      <c r="B35" s="17" t="s">
        <v>27</v>
      </c>
      <c r="C35">
        <v>5651655</v>
      </c>
    </row>
    <row r="36" spans="2:3" x14ac:dyDescent="0.25">
      <c r="B36" s="17" t="s">
        <v>28</v>
      </c>
      <c r="C36">
        <v>2588013</v>
      </c>
    </row>
    <row r="37" spans="2:3" x14ac:dyDescent="0.25">
      <c r="B37" s="17" t="s">
        <v>29</v>
      </c>
      <c r="C37">
        <v>8435834</v>
      </c>
    </row>
    <row r="38" spans="2:3" x14ac:dyDescent="0.25">
      <c r="B38" s="17" t="s">
        <v>30</v>
      </c>
      <c r="C38">
        <v>3751547</v>
      </c>
    </row>
    <row r="39" spans="2:3" x14ac:dyDescent="0.25">
      <c r="B39" s="17" t="s">
        <v>31</v>
      </c>
      <c r="C39">
        <v>18122063</v>
      </c>
    </row>
    <row r="40" spans="2:3" x14ac:dyDescent="0.25">
      <c r="B40" s="17" t="s">
        <v>32</v>
      </c>
      <c r="C40">
        <v>10988474</v>
      </c>
    </row>
    <row r="41" spans="2:3" x14ac:dyDescent="0.25">
      <c r="B41" s="17" t="s">
        <v>33</v>
      </c>
      <c r="C41">
        <v>13532478</v>
      </c>
    </row>
    <row r="42" spans="2:3" x14ac:dyDescent="0.25">
      <c r="B42" s="17" t="s">
        <v>34</v>
      </c>
      <c r="C42">
        <v>16467945</v>
      </c>
    </row>
    <row r="43" spans="2:3" x14ac:dyDescent="0.25">
      <c r="B43" s="17" t="s">
        <v>35</v>
      </c>
      <c r="C43">
        <v>5605463</v>
      </c>
    </row>
    <row r="44" spans="2:3" x14ac:dyDescent="0.25">
      <c r="B44" s="17" t="s">
        <v>36</v>
      </c>
      <c r="C44">
        <v>12067544</v>
      </c>
    </row>
    <row r="45" spans="2:3" x14ac:dyDescent="0.25">
      <c r="B45" s="17" t="s">
        <v>24</v>
      </c>
      <c r="C45">
        <v>118731893</v>
      </c>
    </row>
    <row r="48" spans="2:3" x14ac:dyDescent="0.25">
      <c r="B48" s="16" t="s">
        <v>37</v>
      </c>
      <c r="C48" t="s">
        <v>38</v>
      </c>
    </row>
    <row r="49" spans="2:6" x14ac:dyDescent="0.25">
      <c r="B49" s="17" t="s">
        <v>13</v>
      </c>
      <c r="C49">
        <v>16052685</v>
      </c>
    </row>
    <row r="50" spans="2:6" x14ac:dyDescent="0.25">
      <c r="B50" s="17" t="s">
        <v>20</v>
      </c>
      <c r="C50">
        <v>16926316</v>
      </c>
    </row>
    <row r="51" spans="2:6" x14ac:dyDescent="0.25">
      <c r="B51" s="17" t="s">
        <v>8</v>
      </c>
      <c r="C51">
        <v>19179514</v>
      </c>
    </row>
    <row r="52" spans="2:6" x14ac:dyDescent="0.25">
      <c r="B52" s="17" t="s">
        <v>23</v>
      </c>
      <c r="C52">
        <v>10438408</v>
      </c>
    </row>
    <row r="53" spans="2:6" x14ac:dyDescent="0.25">
      <c r="B53" s="17" t="s">
        <v>17</v>
      </c>
      <c r="C53">
        <v>41054876</v>
      </c>
    </row>
    <row r="54" spans="2:6" x14ac:dyDescent="0.25">
      <c r="B54" s="17" t="s">
        <v>10</v>
      </c>
      <c r="C54">
        <v>15080094</v>
      </c>
    </row>
    <row r="55" spans="2:6" x14ac:dyDescent="0.25">
      <c r="B55" s="17" t="s">
        <v>24</v>
      </c>
      <c r="C55">
        <v>118731893</v>
      </c>
    </row>
    <row r="60" spans="2:6" x14ac:dyDescent="0.25">
      <c r="E60" t="s">
        <v>38</v>
      </c>
    </row>
    <row r="61" spans="2:6" x14ac:dyDescent="0.25">
      <c r="E61" s="20">
        <v>118731893</v>
      </c>
      <c r="F61" s="19">
        <f>GETPIVOTDATA("[Measures].[Sum of Amount]",$E$60)</f>
        <v>118731893</v>
      </c>
    </row>
    <row r="62" spans="2:6" x14ac:dyDescent="0.25">
      <c r="D62" s="19"/>
    </row>
    <row r="63" spans="2:6" x14ac:dyDescent="0.25">
      <c r="E63" t="s">
        <v>40</v>
      </c>
    </row>
    <row r="64" spans="2:6" x14ac:dyDescent="0.25">
      <c r="E64">
        <v>278</v>
      </c>
      <c r="F64">
        <f>GETPIVOTDATA("[Measures].[Count of Amount]",$E$63)</f>
        <v>278</v>
      </c>
    </row>
    <row r="67" spans="2:11" x14ac:dyDescent="0.25">
      <c r="B67" t="s">
        <v>41</v>
      </c>
      <c r="J67" s="16" t="s">
        <v>37</v>
      </c>
      <c r="K67" t="s">
        <v>42</v>
      </c>
    </row>
    <row r="68" spans="2:11" x14ac:dyDescent="0.25">
      <c r="B68" s="22" t="s">
        <v>43</v>
      </c>
      <c r="J68" s="17" t="s">
        <v>19</v>
      </c>
      <c r="K68">
        <v>1615</v>
      </c>
    </row>
    <row r="69" spans="2:11" x14ac:dyDescent="0.25">
      <c r="B69" s="31" t="e" vm="3">
        <v>#VALUE!</v>
      </c>
      <c r="J69" s="17" t="s">
        <v>15</v>
      </c>
      <c r="K69">
        <v>1503</v>
      </c>
    </row>
    <row r="70" spans="2:11" x14ac:dyDescent="0.25">
      <c r="J70" s="17" t="s">
        <v>21</v>
      </c>
      <c r="K70">
        <v>1457</v>
      </c>
    </row>
    <row r="71" spans="2:11" x14ac:dyDescent="0.25">
      <c r="J71" s="17" t="s">
        <v>7</v>
      </c>
      <c r="K71">
        <v>1233</v>
      </c>
    </row>
    <row r="72" spans="2:11" x14ac:dyDescent="0.25">
      <c r="J72" s="17" t="s">
        <v>16</v>
      </c>
      <c r="K72">
        <v>1168</v>
      </c>
    </row>
    <row r="73" spans="2:11" x14ac:dyDescent="0.25">
      <c r="J73" s="17" t="s">
        <v>12</v>
      </c>
      <c r="K73">
        <v>694</v>
      </c>
    </row>
    <row r="74" spans="2:11" x14ac:dyDescent="0.25">
      <c r="J74" s="17" t="s">
        <v>24</v>
      </c>
      <c r="K74">
        <v>7670</v>
      </c>
    </row>
    <row r="75" spans="2:11" x14ac:dyDescent="0.25">
      <c r="B75" s="22" t="s">
        <v>44</v>
      </c>
      <c r="C75" s="21"/>
    </row>
    <row r="76" spans="2:11" x14ac:dyDescent="0.25">
      <c r="B76" s="16" t="s">
        <v>37</v>
      </c>
      <c r="C76" t="s">
        <v>42</v>
      </c>
    </row>
    <row r="77" spans="2:11" x14ac:dyDescent="0.25">
      <c r="B77" s="17" t="s">
        <v>19</v>
      </c>
      <c r="C77">
        <v>1615</v>
      </c>
    </row>
    <row r="78" spans="2:11" x14ac:dyDescent="0.25">
      <c r="B78" s="17" t="s">
        <v>15</v>
      </c>
      <c r="C78">
        <v>1503</v>
      </c>
      <c r="J78" s="16" t="s">
        <v>37</v>
      </c>
      <c r="K78" t="s">
        <v>42</v>
      </c>
    </row>
    <row r="79" spans="2:11" x14ac:dyDescent="0.25">
      <c r="B79" s="17" t="s">
        <v>21</v>
      </c>
      <c r="C79">
        <v>1457</v>
      </c>
      <c r="J79" s="17" t="s">
        <v>12</v>
      </c>
      <c r="K79">
        <v>694</v>
      </c>
    </row>
    <row r="80" spans="2:11" x14ac:dyDescent="0.25">
      <c r="B80" s="17" t="s">
        <v>7</v>
      </c>
      <c r="C80">
        <v>1233</v>
      </c>
      <c r="J80" s="17" t="s">
        <v>16</v>
      </c>
      <c r="K80">
        <v>1168</v>
      </c>
    </row>
    <row r="81" spans="1:11" x14ac:dyDescent="0.25">
      <c r="B81" s="17" t="s">
        <v>16</v>
      </c>
      <c r="C81">
        <v>1168</v>
      </c>
      <c r="J81" s="17" t="s">
        <v>7</v>
      </c>
      <c r="K81">
        <v>1233</v>
      </c>
    </row>
    <row r="82" spans="1:11" x14ac:dyDescent="0.25">
      <c r="B82" s="17" t="s">
        <v>12</v>
      </c>
      <c r="C82">
        <v>694</v>
      </c>
      <c r="J82" s="17" t="s">
        <v>21</v>
      </c>
      <c r="K82">
        <v>1457</v>
      </c>
    </row>
    <row r="83" spans="1:11" x14ac:dyDescent="0.25">
      <c r="B83" s="17" t="s">
        <v>24</v>
      </c>
      <c r="C83">
        <v>7670</v>
      </c>
      <c r="J83" s="17" t="s">
        <v>15</v>
      </c>
      <c r="K83">
        <v>1503</v>
      </c>
    </row>
    <row r="84" spans="1:11" x14ac:dyDescent="0.25">
      <c r="J84" s="17" t="s">
        <v>19</v>
      </c>
      <c r="K84">
        <v>1615</v>
      </c>
    </row>
    <row r="85" spans="1:11" x14ac:dyDescent="0.25">
      <c r="J85" s="17" t="s">
        <v>24</v>
      </c>
      <c r="K85">
        <v>7670</v>
      </c>
    </row>
    <row r="86" spans="1:11" x14ac:dyDescent="0.25">
      <c r="B86" s="16" t="s">
        <v>37</v>
      </c>
      <c r="C86" t="s">
        <v>42</v>
      </c>
    </row>
    <row r="87" spans="1:11" x14ac:dyDescent="0.25">
      <c r="B87" s="17" t="s">
        <v>7</v>
      </c>
      <c r="C87">
        <v>1233</v>
      </c>
    </row>
    <row r="88" spans="1:11" x14ac:dyDescent="0.25">
      <c r="B88" s="17" t="s">
        <v>24</v>
      </c>
      <c r="C88">
        <v>1233</v>
      </c>
    </row>
    <row r="92" spans="1:11" x14ac:dyDescent="0.25">
      <c r="A92" s="23"/>
      <c r="B92" s="24" t="s">
        <v>45</v>
      </c>
      <c r="C92" s="21"/>
    </row>
    <row r="93" spans="1:11" x14ac:dyDescent="0.25">
      <c r="B93" s="16" t="s">
        <v>37</v>
      </c>
      <c r="C93" t="s">
        <v>38</v>
      </c>
    </row>
    <row r="94" spans="1:11" x14ac:dyDescent="0.25">
      <c r="B94" s="17" t="s">
        <v>13</v>
      </c>
      <c r="C94">
        <v>16052685</v>
      </c>
      <c r="E94" s="16" t="s">
        <v>37</v>
      </c>
      <c r="F94" t="s">
        <v>42</v>
      </c>
    </row>
    <row r="95" spans="1:11" x14ac:dyDescent="0.25">
      <c r="B95" s="17" t="s">
        <v>20</v>
      </c>
      <c r="C95">
        <v>16926316</v>
      </c>
      <c r="E95" s="17" t="s">
        <v>15</v>
      </c>
      <c r="F95">
        <v>1503</v>
      </c>
    </row>
    <row r="96" spans="1:11" x14ac:dyDescent="0.25">
      <c r="B96" s="17" t="s">
        <v>8</v>
      </c>
      <c r="C96">
        <v>19179514</v>
      </c>
      <c r="E96" s="17" t="s">
        <v>7</v>
      </c>
      <c r="F96">
        <v>1233</v>
      </c>
    </row>
    <row r="97" spans="2:6" x14ac:dyDescent="0.25">
      <c r="B97" s="17" t="s">
        <v>23</v>
      </c>
      <c r="C97">
        <v>10438408</v>
      </c>
      <c r="E97" s="17" t="s">
        <v>19</v>
      </c>
      <c r="F97">
        <v>1615</v>
      </c>
    </row>
    <row r="98" spans="2:6" x14ac:dyDescent="0.25">
      <c r="B98" s="17" t="s">
        <v>17</v>
      </c>
      <c r="C98">
        <v>41054876</v>
      </c>
      <c r="E98" s="17" t="s">
        <v>12</v>
      </c>
      <c r="F98">
        <v>694</v>
      </c>
    </row>
    <row r="99" spans="2:6" x14ac:dyDescent="0.25">
      <c r="B99" s="17" t="s">
        <v>10</v>
      </c>
      <c r="C99">
        <v>15080094</v>
      </c>
      <c r="E99" s="17" t="s">
        <v>16</v>
      </c>
      <c r="F99">
        <v>1168</v>
      </c>
    </row>
    <row r="100" spans="2:6" x14ac:dyDescent="0.25">
      <c r="B100" s="17" t="s">
        <v>24</v>
      </c>
      <c r="C100">
        <v>118731893</v>
      </c>
      <c r="E100" s="17" t="s">
        <v>21</v>
      </c>
      <c r="F100">
        <v>1457</v>
      </c>
    </row>
    <row r="101" spans="2:6" x14ac:dyDescent="0.25">
      <c r="E101" s="17" t="s">
        <v>24</v>
      </c>
      <c r="F101">
        <v>7670</v>
      </c>
    </row>
    <row r="104" spans="2:6" x14ac:dyDescent="0.25">
      <c r="D104" s="19"/>
    </row>
    <row r="105" spans="2:6" ht="15.75" x14ac:dyDescent="0.25">
      <c r="B105" s="25" t="s">
        <v>46</v>
      </c>
    </row>
    <row r="107" spans="2:6" x14ac:dyDescent="0.25">
      <c r="B107" s="16" t="s">
        <v>37</v>
      </c>
      <c r="C107" t="s">
        <v>42</v>
      </c>
    </row>
    <row r="108" spans="2:6" x14ac:dyDescent="0.25">
      <c r="B108" s="17" t="s">
        <v>18</v>
      </c>
      <c r="C108">
        <v>1687</v>
      </c>
    </row>
    <row r="109" spans="2:6" x14ac:dyDescent="0.25">
      <c r="B109" s="17" t="s">
        <v>11</v>
      </c>
      <c r="C109">
        <v>1534</v>
      </c>
    </row>
    <row r="110" spans="2:6" x14ac:dyDescent="0.25">
      <c r="B110" s="17" t="s">
        <v>9</v>
      </c>
      <c r="C110">
        <v>1407</v>
      </c>
    </row>
    <row r="111" spans="2:6" x14ac:dyDescent="0.25">
      <c r="B111" s="17" t="s">
        <v>24</v>
      </c>
      <c r="C111">
        <v>4628</v>
      </c>
    </row>
    <row r="117" spans="2:3" x14ac:dyDescent="0.25">
      <c r="B117" s="18" t="s">
        <v>47</v>
      </c>
    </row>
    <row r="118" spans="2:3" x14ac:dyDescent="0.25">
      <c r="B118" s="16" t="s">
        <v>37</v>
      </c>
      <c r="C118" t="s">
        <v>42</v>
      </c>
    </row>
    <row r="119" spans="2:3" x14ac:dyDescent="0.25">
      <c r="B119" s="17" t="s">
        <v>14</v>
      </c>
      <c r="C119">
        <v>810</v>
      </c>
    </row>
    <row r="120" spans="2:3" x14ac:dyDescent="0.25">
      <c r="B120" s="17" t="s">
        <v>6</v>
      </c>
      <c r="C120">
        <v>947</v>
      </c>
    </row>
    <row r="121" spans="2:3" x14ac:dyDescent="0.25">
      <c r="B121" s="17" t="s">
        <v>22</v>
      </c>
      <c r="C121">
        <v>1285</v>
      </c>
    </row>
    <row r="122" spans="2:3" x14ac:dyDescent="0.25">
      <c r="B122" s="17" t="s">
        <v>24</v>
      </c>
      <c r="C122">
        <v>3042</v>
      </c>
    </row>
    <row r="127" spans="2:3" x14ac:dyDescent="0.25">
      <c r="B127" s="16" t="s">
        <v>37</v>
      </c>
      <c r="C127" t="s">
        <v>42</v>
      </c>
    </row>
    <row r="128" spans="2:3" x14ac:dyDescent="0.25">
      <c r="B128" s="17" t="s">
        <v>18</v>
      </c>
      <c r="C128">
        <v>1687</v>
      </c>
    </row>
    <row r="129" spans="2:3" x14ac:dyDescent="0.25">
      <c r="B129" s="17" t="s">
        <v>11</v>
      </c>
      <c r="C129">
        <v>1534</v>
      </c>
    </row>
    <row r="130" spans="2:3" x14ac:dyDescent="0.25">
      <c r="B130" s="17" t="s">
        <v>9</v>
      </c>
      <c r="C130">
        <v>1407</v>
      </c>
    </row>
    <row r="131" spans="2:3" x14ac:dyDescent="0.25">
      <c r="B131" s="17" t="s">
        <v>14</v>
      </c>
      <c r="C131">
        <v>810</v>
      </c>
    </row>
    <row r="132" spans="2:3" x14ac:dyDescent="0.25">
      <c r="B132" s="17" t="s">
        <v>22</v>
      </c>
      <c r="C132">
        <v>1285</v>
      </c>
    </row>
    <row r="133" spans="2:3" x14ac:dyDescent="0.25">
      <c r="B133" s="17" t="s">
        <v>6</v>
      </c>
      <c r="C133">
        <v>947</v>
      </c>
    </row>
    <row r="134" spans="2:3" x14ac:dyDescent="0.25">
      <c r="B134" s="17" t="s">
        <v>24</v>
      </c>
      <c r="C134">
        <v>7670</v>
      </c>
    </row>
    <row r="144" spans="2:3" x14ac:dyDescent="0.25">
      <c r="B144" s="26"/>
    </row>
    <row r="145" spans="2:9" x14ac:dyDescent="0.25">
      <c r="B145" s="26" t="s">
        <v>48</v>
      </c>
      <c r="C145" s="26" t="s">
        <v>42</v>
      </c>
      <c r="D145" s="26" t="s">
        <v>38</v>
      </c>
      <c r="E145" s="29"/>
      <c r="F145" s="26" t="s">
        <v>50</v>
      </c>
    </row>
    <row r="146" spans="2:9" x14ac:dyDescent="0.25">
      <c r="B146" s="28">
        <v>278</v>
      </c>
      <c r="C146" s="28">
        <v>7670</v>
      </c>
      <c r="D146" s="28">
        <v>118731893</v>
      </c>
      <c r="E146" t="s">
        <v>55</v>
      </c>
      <c r="F146" s="26" t="s">
        <v>51</v>
      </c>
      <c r="G146" s="26" t="s">
        <v>52</v>
      </c>
      <c r="H146" s="26" t="s">
        <v>53</v>
      </c>
    </row>
    <row r="147" spans="2:9" x14ac:dyDescent="0.25">
      <c r="E147" s="30">
        <v>427093.14028776978</v>
      </c>
      <c r="F147" t="str">
        <f>TEXT(B145,"#,##")</f>
        <v>Count of Date</v>
      </c>
      <c r="G147" t="str">
        <f t="shared" ref="G147:H147" si="0">TEXT(C145,"#,##")</f>
        <v>Sum of Units</v>
      </c>
      <c r="H147" t="str">
        <f t="shared" si="0"/>
        <v>Sum of Amount</v>
      </c>
    </row>
    <row r="148" spans="2:9" x14ac:dyDescent="0.25">
      <c r="F148" t="str">
        <f>TEXT(B146,"#,##")</f>
        <v>278</v>
      </c>
      <c r="G148" t="str">
        <f t="shared" ref="G148:H148" si="1">TEXT(C146,"#,##")</f>
        <v>7,670</v>
      </c>
      <c r="H148" t="str">
        <f t="shared" si="1"/>
        <v>11,87,31,893</v>
      </c>
      <c r="I148" t="str">
        <f>TEXT(E147,"#,##")</f>
        <v>4,27,093</v>
      </c>
    </row>
    <row r="150" spans="2:9" x14ac:dyDescent="0.25">
      <c r="B150" s="21" t="s">
        <v>54</v>
      </c>
    </row>
    <row r="151" spans="2:9" x14ac:dyDescent="0.25">
      <c r="B151" s="27" t="s">
        <v>37</v>
      </c>
      <c r="C151" s="26" t="s">
        <v>48</v>
      </c>
      <c r="D151" s="26" t="s">
        <v>42</v>
      </c>
      <c r="E151" s="26" t="s">
        <v>38</v>
      </c>
    </row>
    <row r="152" spans="2:9" x14ac:dyDescent="0.25">
      <c r="B152" s="26" t="s">
        <v>13</v>
      </c>
      <c r="C152" s="28">
        <v>56</v>
      </c>
      <c r="D152" s="28">
        <v>1512</v>
      </c>
      <c r="E152" s="28">
        <v>16052685</v>
      </c>
    </row>
    <row r="153" spans="2:9" x14ac:dyDescent="0.25">
      <c r="B153" s="26" t="s">
        <v>20</v>
      </c>
      <c r="C153" s="28">
        <v>44</v>
      </c>
      <c r="D153" s="28">
        <v>1022</v>
      </c>
      <c r="E153" s="28">
        <v>16926316</v>
      </c>
    </row>
    <row r="154" spans="2:9" x14ac:dyDescent="0.25">
      <c r="B154" s="26" t="s">
        <v>8</v>
      </c>
      <c r="C154" s="28">
        <v>50</v>
      </c>
      <c r="D154" s="28">
        <v>1402</v>
      </c>
      <c r="E154" s="28">
        <v>19179514</v>
      </c>
    </row>
    <row r="155" spans="2:9" x14ac:dyDescent="0.25">
      <c r="B155" s="26" t="s">
        <v>23</v>
      </c>
      <c r="C155" s="28">
        <v>16</v>
      </c>
      <c r="D155" s="28">
        <v>531</v>
      </c>
      <c r="E155" s="28">
        <v>10438408</v>
      </c>
    </row>
    <row r="156" spans="2:9" x14ac:dyDescent="0.25">
      <c r="B156" s="26" t="s">
        <v>17</v>
      </c>
      <c r="C156" s="28">
        <v>70</v>
      </c>
      <c r="D156" s="28">
        <v>1982</v>
      </c>
      <c r="E156" s="28">
        <v>41054876</v>
      </c>
    </row>
    <row r="157" spans="2:9" x14ac:dyDescent="0.25">
      <c r="B157" s="26" t="s">
        <v>10</v>
      </c>
      <c r="C157" s="28">
        <v>42</v>
      </c>
      <c r="D157" s="28">
        <v>1221</v>
      </c>
      <c r="E157" s="28">
        <v>15080094</v>
      </c>
    </row>
    <row r="158" spans="2:9" x14ac:dyDescent="0.25">
      <c r="B158" s="26" t="s">
        <v>24</v>
      </c>
      <c r="C158" s="28">
        <v>278</v>
      </c>
      <c r="D158" s="28">
        <v>7670</v>
      </c>
      <c r="E158" s="28">
        <v>118731893</v>
      </c>
    </row>
    <row r="162" spans="2:3" x14ac:dyDescent="0.25">
      <c r="B162" s="27" t="s">
        <v>37</v>
      </c>
      <c r="C162" s="26" t="s">
        <v>42</v>
      </c>
    </row>
    <row r="163" spans="2:3" x14ac:dyDescent="0.25">
      <c r="B163" s="26" t="s">
        <v>15</v>
      </c>
      <c r="C163" s="28">
        <v>1503</v>
      </c>
    </row>
    <row r="164" spans="2:3" x14ac:dyDescent="0.25">
      <c r="B164" s="26" t="s">
        <v>7</v>
      </c>
      <c r="C164" s="28">
        <v>1233</v>
      </c>
    </row>
    <row r="165" spans="2:3" x14ac:dyDescent="0.25">
      <c r="B165" s="26" t="s">
        <v>19</v>
      </c>
      <c r="C165" s="28">
        <v>1615</v>
      </c>
    </row>
    <row r="166" spans="2:3" x14ac:dyDescent="0.25">
      <c r="B166" s="26" t="s">
        <v>12</v>
      </c>
      <c r="C166" s="28">
        <v>694</v>
      </c>
    </row>
    <row r="167" spans="2:3" x14ac:dyDescent="0.25">
      <c r="B167" s="26" t="s">
        <v>16</v>
      </c>
      <c r="C167" s="28">
        <v>1168</v>
      </c>
    </row>
    <row r="168" spans="2:3" x14ac:dyDescent="0.25">
      <c r="B168" s="26" t="s">
        <v>21</v>
      </c>
      <c r="C168" s="28">
        <v>1457</v>
      </c>
    </row>
    <row r="169" spans="2:3" x14ac:dyDescent="0.25">
      <c r="B169" s="26" t="s">
        <v>24</v>
      </c>
      <c r="C169" s="28">
        <v>7670</v>
      </c>
    </row>
    <row r="199" spans="2:5" x14ac:dyDescent="0.25">
      <c r="B199" s="27" t="s">
        <v>37</v>
      </c>
      <c r="C199" s="26" t="s">
        <v>48</v>
      </c>
      <c r="D199" s="26" t="s">
        <v>42</v>
      </c>
      <c r="E199" s="26" t="s">
        <v>38</v>
      </c>
    </row>
    <row r="200" spans="2:5" x14ac:dyDescent="0.25">
      <c r="B200" s="26" t="s">
        <v>13</v>
      </c>
      <c r="C200" s="28">
        <v>56</v>
      </c>
      <c r="D200" s="28">
        <v>1512</v>
      </c>
      <c r="E200" s="28">
        <v>16052685</v>
      </c>
    </row>
    <row r="201" spans="2:5" x14ac:dyDescent="0.25">
      <c r="B201" s="26" t="s">
        <v>20</v>
      </c>
      <c r="C201" s="28">
        <v>44</v>
      </c>
      <c r="D201" s="28">
        <v>1022</v>
      </c>
      <c r="E201" s="28">
        <v>16926316</v>
      </c>
    </row>
    <row r="202" spans="2:5" x14ac:dyDescent="0.25">
      <c r="B202" s="26" t="s">
        <v>8</v>
      </c>
      <c r="C202" s="28">
        <v>50</v>
      </c>
      <c r="D202" s="28">
        <v>1402</v>
      </c>
      <c r="E202" s="28">
        <v>19179514</v>
      </c>
    </row>
    <row r="203" spans="2:5" x14ac:dyDescent="0.25">
      <c r="B203" s="26" t="s">
        <v>23</v>
      </c>
      <c r="C203" s="28">
        <v>16</v>
      </c>
      <c r="D203" s="28">
        <v>531</v>
      </c>
      <c r="E203" s="28">
        <v>10438408</v>
      </c>
    </row>
    <row r="204" spans="2:5" x14ac:dyDescent="0.25">
      <c r="B204" s="26" t="s">
        <v>17</v>
      </c>
      <c r="C204" s="28">
        <v>70</v>
      </c>
      <c r="D204" s="28">
        <v>1982</v>
      </c>
      <c r="E204" s="28">
        <v>41054876</v>
      </c>
    </row>
    <row r="205" spans="2:5" x14ac:dyDescent="0.25">
      <c r="B205" s="26" t="s">
        <v>10</v>
      </c>
      <c r="C205" s="28">
        <v>42</v>
      </c>
      <c r="D205" s="28">
        <v>1221</v>
      </c>
      <c r="E205" s="28">
        <v>15080094</v>
      </c>
    </row>
    <row r="206" spans="2:5" x14ac:dyDescent="0.25">
      <c r="B206" s="26" t="s">
        <v>24</v>
      </c>
      <c r="C206" s="28">
        <v>278</v>
      </c>
      <c r="D206" s="28">
        <v>7670</v>
      </c>
      <c r="E206" s="28">
        <v>118731893</v>
      </c>
    </row>
  </sheetData>
  <pageMargins left="0.7" right="0.7" top="0.75" bottom="0.75" header="0.3" footer="0.3"/>
  <drawing r:id="rId22"/>
  <extLst>
    <ext xmlns:x14="http://schemas.microsoft.com/office/spreadsheetml/2009/9/main" uri="{A8765BA9-456A-4dab-B4F3-ACF838C121DE}">
      <x14:slicerList>
        <x14:slicer r:id="rId2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550FD-DFC3-49FF-AC18-468F67A3DAE5}">
  <dimension ref="A1"/>
  <sheetViews>
    <sheetView tabSelected="1" topLeftCell="B1" workbookViewId="0">
      <selection activeCell="D12" sqref="D12"/>
    </sheetView>
  </sheetViews>
  <sheetFormatPr defaultRowHeight="15" x14ac:dyDescent="0.25"/>
  <cols>
    <col min="1" max="1" width="5.28515625" customWidth="1"/>
    <col min="2" max="2" width="15.85546875" customWidth="1"/>
    <col min="3" max="3" width="4.140625"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Database</vt:lpstr>
      <vt:lpstr>Products</vt:lpstr>
      <vt:lpstr>Sales mans</vt:lpstr>
      <vt:lpstr>About</vt:lpstr>
      <vt:lpstr>Slicer</vt:lpstr>
      <vt:lpstr>pivot tables</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Bhavani Chennaboina</cp:lastModifiedBy>
  <dcterms:created xsi:type="dcterms:W3CDTF">2025-01-28T12:35:12Z</dcterms:created>
  <dcterms:modified xsi:type="dcterms:W3CDTF">2026-07-19T16:54:09Z</dcterms:modified>
</cp:coreProperties>
</file>